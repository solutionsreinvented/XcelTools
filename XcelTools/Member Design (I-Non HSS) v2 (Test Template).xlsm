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akrafgroup-my.sharepoint.com/personal/srinivasarao_m_takraf_com/Documents/Desktop/"/>
    </mc:Choice>
  </mc:AlternateContent>
  <xr:revisionPtr revIDLastSave="45" documentId="8_{AB7FD2D9-39D0-4763-8B8E-C0875E875CB6}" xr6:coauthVersionLast="47" xr6:coauthVersionMax="47" xr10:uidLastSave="{44621D68-D4A0-4397-B611-65EEDB76E041}"/>
  <bookViews>
    <workbookView xWindow="-120" yWindow="-120" windowWidth="29040" windowHeight="17790" activeTab="2" xr2:uid="{00000000-000D-0000-FFFF-FFFF00000000}"/>
  </bookViews>
  <sheets>
    <sheet name="Version History" sheetId="38" r:id="rId1"/>
    <sheet name="Summary" sheetId="17" r:id="rId2"/>
    <sheet name="Calcs" sheetId="11" r:id="rId3"/>
    <sheet name="ProfilesList" sheetId="40" state="veryHidden" r:id="rId4"/>
  </sheets>
  <functionGroups builtInGroupCount="19"/>
  <definedNames>
    <definedName name="Ag">Calcs!$I$9</definedName>
    <definedName name="bf">Calcs!$I$11</definedName>
    <definedName name="BoundaryEnd">Calcs!$U$92</definedName>
    <definedName name="BoundaryStart">Calcs!$F$92</definedName>
    <definedName name="DesignMethod">Calcs!$X$89</definedName>
    <definedName name="DocApprover">Summary!$AO$3</definedName>
    <definedName name="DocChecker">Summary!$AO$2</definedName>
    <definedName name="DocClient">Summary!$G$4</definedName>
    <definedName name="DocCurrentDate">Summary!$AV$4</definedName>
    <definedName name="DocCurrentIssue">Summary!$AV$3</definedName>
    <definedName name="DocInitialDate">Summary!$AR$4</definedName>
    <definedName name="DocInitialIssue">Summary!$AR$3</definedName>
    <definedName name="DocNumber">Summary!$G$1</definedName>
    <definedName name="DocOriginator">Summary!$AO$1</definedName>
    <definedName name="DocProject">Summary!$G$3</definedName>
    <definedName name="DocTitle">Summary!$G$2</definedName>
    <definedName name="DocVersion">Summary!$AK$4</definedName>
    <definedName name="E">Calcs!$AB$26</definedName>
    <definedName name="Fu">Calcs!$W$26</definedName>
    <definedName name="Fy">Calcs!$S$26</definedName>
    <definedName name="GeometryColumnOne">Calcs!$I$9:$M$17</definedName>
    <definedName name="GeometryColumnTwo">Calcs!$W$9:$AA$17</definedName>
    <definedName name="GeoProps">Calcs!$AU$9:$AU$47</definedName>
    <definedName name="Grade">Calcs!$N$26</definedName>
    <definedName name="Grades">ProfilesList!$D:$D</definedName>
    <definedName name="h">Calcs!$I$10</definedName>
    <definedName name="k">Calcs!$I$14</definedName>
    <definedName name="KFactor">Calcs!$V$152</definedName>
    <definedName name="LimitingUR">Summary!$AJ$19</definedName>
    <definedName name="MatDatabase">Calcs!$I$26</definedName>
    <definedName name="MatProps">Calcs!$S$26:$AA$26</definedName>
    <definedName name="MaxUR">Summary!$AT$36</definedName>
    <definedName name="MemberGeometry">Calcs!$BA$8:$BD$13</definedName>
    <definedName name="MemberPopulationList">ProfilesList!$A:$A</definedName>
    <definedName name="Precision">Summary!$AJ$20</definedName>
    <definedName name="_xlnm.Print_Area" localSheetId="2">Calcs!$A$1:$AG$375</definedName>
    <definedName name="_xlnm.Print_Area" localSheetId="1">Summary!$A$1:$AY$43</definedName>
    <definedName name="_xlnm.Print_Area" localSheetId="0">'Version History'!$A$1:$AG$64</definedName>
    <definedName name="_xlnm.Print_Titles" localSheetId="2">Calcs!$1:$4</definedName>
    <definedName name="Qfb">Calcs!$V$159</definedName>
    <definedName name="Qtftb">Calcs!$V$173</definedName>
    <definedName name="SectionDatabase">Calcs!$M$6</definedName>
    <definedName name="SectionProfile">Calcs!$W$6</definedName>
    <definedName name="SectionType">Calcs!$R$6</definedName>
    <definedName name="TemplateDocApprover">'Version History'!$W$3</definedName>
    <definedName name="TemplateDocChecker">'Version History'!$W$2</definedName>
    <definedName name="TemplateDocClient">'Version History'!$G$4</definedName>
    <definedName name="TemplateDocCurrentDate">'Version History'!$AD$4</definedName>
    <definedName name="TemplateDocCurrentRevision">'Version History'!$AD$3</definedName>
    <definedName name="TemplateDocInitialDate">'Version History'!$Z$4</definedName>
    <definedName name="TemplateDocInitialRevision">'Version History'!$Z$3</definedName>
    <definedName name="TemplateDocNumber">'Version History'!$G$1</definedName>
    <definedName name="TemplateDocOriginator">'Version History'!$W$1</definedName>
    <definedName name="TemplateDocProject">'Version History'!$G$3</definedName>
    <definedName name="TemplateDocTitle">'Version History'!$G$2</definedName>
    <definedName name="TemplateDocVersion" localSheetId="0">'Version History'!$S$4</definedName>
    <definedName name="tf">Calcs!$I$12</definedName>
    <definedName name="tw">Calcs!$I$13</definedName>
    <definedName name="UtilizationRatios">ProfilesList!$K$2:$K$1048576</definedName>
    <definedName name="Weights">ProfilesList!$L$2:$L$1048576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11" l="1"/>
  <c r="Z2" i="11"/>
  <c r="W16" i="11" l="1"/>
  <c r="W15" i="11"/>
  <c r="W14" i="11"/>
  <c r="W13" i="11"/>
  <c r="W12" i="11"/>
  <c r="W11" i="11"/>
  <c r="W10" i="11"/>
  <c r="W9" i="11"/>
  <c r="I16" i="11"/>
  <c r="I15" i="11"/>
  <c r="I14" i="11"/>
  <c r="I13" i="11"/>
  <c r="I12" i="11" l="1"/>
  <c r="I10" i="11"/>
  <c r="I11" i="11"/>
  <c r="I9" i="11"/>
  <c r="AN35" i="17" l="1"/>
  <c r="AN34" i="17"/>
  <c r="AN33" i="17"/>
  <c r="AN32" i="17"/>
  <c r="AN31" i="17"/>
  <c r="AN30" i="17"/>
  <c r="AN29" i="17"/>
  <c r="AN28" i="17"/>
  <c r="AN27" i="17"/>
  <c r="AN26" i="17"/>
  <c r="AJ35" i="17"/>
  <c r="AJ34" i="17"/>
  <c r="AJ33" i="17"/>
  <c r="AJ32" i="17"/>
  <c r="AJ31" i="17"/>
  <c r="AJ30" i="17"/>
  <c r="AJ29" i="17"/>
  <c r="AJ28" i="17"/>
  <c r="AJ27" i="17"/>
  <c r="AJ26" i="17"/>
  <c r="AN25" i="17"/>
  <c r="AJ25" i="17"/>
  <c r="AN24" i="17"/>
  <c r="AJ24" i="17"/>
  <c r="AF35" i="17"/>
  <c r="AF34" i="17"/>
  <c r="AF33" i="17"/>
  <c r="AF32" i="17"/>
  <c r="AF31" i="17"/>
  <c r="AF30" i="17"/>
  <c r="AF29" i="17"/>
  <c r="AF28" i="17"/>
  <c r="AF27" i="17"/>
  <c r="AF26" i="17"/>
  <c r="AF25" i="17"/>
  <c r="AF24" i="17"/>
  <c r="AB24" i="17"/>
  <c r="AB35" i="17"/>
  <c r="AB34" i="17"/>
  <c r="AB33" i="17"/>
  <c r="AB32" i="17"/>
  <c r="AB31" i="17"/>
  <c r="AB30" i="17"/>
  <c r="AB29" i="17"/>
  <c r="AB28" i="17"/>
  <c r="AB27" i="17"/>
  <c r="AB26" i="17"/>
  <c r="AB25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T24" i="17"/>
  <c r="T35" i="17"/>
  <c r="T34" i="17"/>
  <c r="T33" i="17"/>
  <c r="T32" i="17"/>
  <c r="T31" i="17"/>
  <c r="T30" i="17"/>
  <c r="T29" i="17"/>
  <c r="T28" i="17"/>
  <c r="T27" i="17"/>
  <c r="T26" i="17"/>
  <c r="T25" i="17"/>
  <c r="E35" i="17"/>
  <c r="B35" i="17"/>
  <c r="E34" i="17"/>
  <c r="B34" i="17"/>
  <c r="E33" i="17"/>
  <c r="B33" i="17"/>
  <c r="E32" i="17"/>
  <c r="B32" i="17"/>
  <c r="E31" i="17"/>
  <c r="B31" i="17"/>
  <c r="E30" i="17"/>
  <c r="B30" i="17"/>
  <c r="E29" i="17"/>
  <c r="B29" i="17"/>
  <c r="E28" i="17"/>
  <c r="B28" i="17"/>
  <c r="E27" i="17"/>
  <c r="E26" i="17"/>
  <c r="E25" i="17"/>
  <c r="E24" i="17"/>
  <c r="B27" i="17"/>
  <c r="B26" i="17"/>
  <c r="B25" i="17"/>
  <c r="B24" i="17"/>
  <c r="V328" i="11" l="1"/>
  <c r="V317" i="11"/>
  <c r="AF316" i="11" s="1"/>
  <c r="M110" i="11"/>
  <c r="V293" i="11"/>
  <c r="V291" i="11" s="1"/>
  <c r="X287" i="11"/>
  <c r="Q287" i="11"/>
  <c r="V271" i="11"/>
  <c r="V235" i="11"/>
  <c r="V270" i="11"/>
  <c r="V234" i="11"/>
  <c r="V236" i="11" s="1"/>
  <c r="F275" i="11"/>
  <c r="F236" i="11"/>
  <c r="F274" i="11"/>
  <c r="F235" i="11"/>
  <c r="F273" i="11"/>
  <c r="F234" i="11"/>
  <c r="F272" i="11"/>
  <c r="F233" i="11"/>
  <c r="F271" i="11"/>
  <c r="F232" i="11"/>
  <c r="F238" i="11"/>
  <c r="W17" i="11"/>
  <c r="F270" i="11" s="1"/>
  <c r="I17" i="11"/>
  <c r="V326" i="11" l="1"/>
  <c r="V325" i="11"/>
  <c r="V316" i="11"/>
  <c r="V315" i="11" s="1"/>
  <c r="V314" i="11" s="1"/>
  <c r="V237" i="11"/>
  <c r="AF283" i="11"/>
  <c r="F269" i="11"/>
  <c r="V272" i="11" s="1"/>
  <c r="V262" i="11" s="1"/>
  <c r="V283" i="11"/>
  <c r="F231" i="11"/>
  <c r="V231" i="11" s="1"/>
  <c r="V239" i="11"/>
  <c r="AF239" i="11"/>
  <c r="AF254" i="11"/>
  <c r="V241" i="11"/>
  <c r="V254" i="11"/>
  <c r="F241" i="11"/>
  <c r="AF237" i="11"/>
  <c r="F237" i="11"/>
  <c r="AF315" i="11" l="1"/>
  <c r="V324" i="11"/>
  <c r="F230" i="11"/>
  <c r="V230" i="11" s="1"/>
  <c r="F240" i="11" s="1"/>
  <c r="V269" i="11"/>
  <c r="V273" i="11" s="1"/>
  <c r="F239" i="11"/>
  <c r="X320" i="11" l="1"/>
  <c r="X321" i="11" s="1"/>
  <c r="Q320" i="11"/>
  <c r="Q321" i="11" s="1"/>
  <c r="V240" i="11"/>
  <c r="V274" i="11"/>
  <c r="AF323" i="11" l="1"/>
  <c r="AF328" i="11" s="1"/>
  <c r="AJ9" i="17"/>
  <c r="AJ11" i="17" s="1"/>
  <c r="V202" i="11"/>
  <c r="V201" i="11"/>
  <c r="V199" i="11"/>
  <c r="V197" i="11"/>
  <c r="X75" i="11"/>
  <c r="V192" i="11"/>
  <c r="V190" i="11" s="1"/>
  <c r="V266" i="11" l="1"/>
  <c r="V265" i="11" s="1"/>
  <c r="AF266" i="11"/>
  <c r="V227" i="11"/>
  <c r="AF226" i="11"/>
  <c r="V198" i="11"/>
  <c r="V203" i="11"/>
  <c r="V148" i="11"/>
  <c r="V131" i="11"/>
  <c r="X135" i="11" s="1"/>
  <c r="V169" i="11"/>
  <c r="V170" i="11" s="1"/>
  <c r="V110" i="11"/>
  <c r="V233" i="11" s="1"/>
  <c r="R110" i="11"/>
  <c r="V232" i="11" s="1"/>
  <c r="V238" i="11" s="1"/>
  <c r="V109" i="11"/>
  <c r="R109" i="11"/>
  <c r="R102" i="11"/>
  <c r="M109" i="11"/>
  <c r="M102" i="11"/>
  <c r="V147" i="11" s="1"/>
  <c r="M103" i="11"/>
  <c r="R103" i="11"/>
  <c r="V153" i="11"/>
  <c r="V154" i="11" s="1"/>
  <c r="V140" i="11"/>
  <c r="V139" i="11" s="1"/>
  <c r="Q144" i="11" s="1"/>
  <c r="V226" i="11" l="1"/>
  <c r="V195" i="11"/>
  <c r="AF195" i="11"/>
  <c r="AF333" i="11"/>
  <c r="V333" i="11"/>
  <c r="V332" i="11" s="1"/>
  <c r="V296" i="11"/>
  <c r="V280" i="11"/>
  <c r="V251" i="11"/>
  <c r="V215" i="11"/>
  <c r="AF238" i="11"/>
  <c r="V223" i="11"/>
  <c r="AA110" i="11"/>
  <c r="AA109" i="11"/>
  <c r="AA103" i="11"/>
  <c r="AA102" i="11"/>
  <c r="AF154" i="11"/>
  <c r="V155" i="11"/>
  <c r="V156" i="11" s="1"/>
  <c r="X144" i="11"/>
  <c r="Q135" i="11"/>
  <c r="X337" i="11" l="1"/>
  <c r="X338" i="11" s="1"/>
  <c r="Q337" i="11"/>
  <c r="Q338" i="11" s="1"/>
  <c r="V157" i="11"/>
  <c r="V158" i="11" s="1"/>
  <c r="V171" i="11"/>
  <c r="V172" i="11" s="1"/>
  <c r="X9" i="17"/>
  <c r="X11" i="17" s="1"/>
  <c r="V295" i="11"/>
  <c r="AF295" i="11"/>
  <c r="V250" i="11"/>
  <c r="Q258" i="11" s="1"/>
  <c r="V279" i="11"/>
  <c r="V278" i="11" s="1"/>
  <c r="AF279" i="11"/>
  <c r="V214" i="11"/>
  <c r="X219" i="11" s="1"/>
  <c r="AF250" i="11"/>
  <c r="Q207" i="11"/>
  <c r="X207" i="11"/>
  <c r="AF214" i="11"/>
  <c r="M112" i="11"/>
  <c r="M105" i="11"/>
  <c r="AN9" i="17" l="1"/>
  <c r="AN11" i="17" s="1"/>
  <c r="Q219" i="11"/>
  <c r="X300" i="11"/>
  <c r="Q300" i="11"/>
  <c r="X258" i="11"/>
  <c r="V173" i="11"/>
  <c r="V174" i="11" s="1"/>
  <c r="V159" i="11"/>
  <c r="V160" i="11" s="1"/>
  <c r="B149" i="11"/>
  <c r="B166" i="11"/>
  <c r="AB9" i="17" l="1"/>
  <c r="AB11" i="17" s="1"/>
  <c r="AF9" i="17"/>
  <c r="AF11" i="17" s="1"/>
  <c r="AF160" i="11"/>
  <c r="AF174" i="11"/>
  <c r="V151" i="11"/>
  <c r="V167" i="11"/>
  <c r="Q178" i="11" l="1"/>
  <c r="X178" i="11"/>
  <c r="Q164" i="11"/>
  <c r="X164" i="11"/>
  <c r="T9" i="17" l="1"/>
  <c r="AK4" i="17"/>
  <c r="T11" i="17" l="1"/>
  <c r="AR25" i="17"/>
  <c r="AR27" i="17"/>
  <c r="AR33" i="17"/>
  <c r="AW33" i="17" s="1"/>
  <c r="AR32" i="17"/>
  <c r="AW32" i="17" s="1"/>
  <c r="AR29" i="17"/>
  <c r="AT29" i="17" s="1"/>
  <c r="AR35" i="17"/>
  <c r="AT35" i="17" s="1"/>
  <c r="AR28" i="17"/>
  <c r="AT28" i="17" s="1"/>
  <c r="AR30" i="17"/>
  <c r="AT30" i="17" s="1"/>
  <c r="AR24" i="17"/>
  <c r="AT24" i="17" s="1"/>
  <c r="AR31" i="17"/>
  <c r="AT31" i="17" s="1"/>
  <c r="AR34" i="17"/>
  <c r="AW34" i="17" s="1"/>
  <c r="AR26" i="17"/>
  <c r="AW26" i="17" s="1"/>
  <c r="AD4" i="38"/>
  <c r="AW27" i="17" l="1"/>
  <c r="AT27" i="17"/>
  <c r="AW25" i="17"/>
  <c r="AT25" i="17"/>
  <c r="AW29" i="17"/>
  <c r="AT34" i="17"/>
  <c r="AT33" i="17"/>
  <c r="AT32" i="17"/>
  <c r="AW28" i="17"/>
  <c r="AW24" i="17"/>
  <c r="AW30" i="17"/>
  <c r="AW31" i="17"/>
  <c r="AW35" i="17"/>
  <c r="AT26" i="17"/>
  <c r="AX42" i="17"/>
  <c r="AT36" i="17" l="1"/>
  <c r="W40" i="11" s="1"/>
  <c r="BW24" i="17"/>
  <c r="AW36" i="17" l="1"/>
  <c r="F42" i="17"/>
  <c r="I38" i="17"/>
  <c r="I40" i="17"/>
  <c r="I39" i="17"/>
  <c r="Z4" i="11"/>
  <c r="S4" i="11"/>
  <c r="G4" i="11"/>
  <c r="AD3" i="11"/>
  <c r="Z3" i="11"/>
  <c r="W3" i="11"/>
  <c r="G3" i="11"/>
  <c r="W2" i="11"/>
  <c r="W1" i="11"/>
  <c r="G1" i="11"/>
  <c r="AV4" i="17"/>
  <c r="AD4" i="11" s="1"/>
</calcChain>
</file>

<file path=xl/sharedStrings.xml><?xml version="1.0" encoding="utf-8"?>
<sst xmlns="http://schemas.openxmlformats.org/spreadsheetml/2006/main" count="1036" uniqueCount="576">
  <si>
    <t>Document No.</t>
  </si>
  <si>
    <t>:</t>
  </si>
  <si>
    <t>Originator</t>
  </si>
  <si>
    <t>Life Cycle Status</t>
  </si>
  <si>
    <t>Title</t>
  </si>
  <si>
    <t>Checker</t>
  </si>
  <si>
    <t>Initial Issue</t>
  </si>
  <si>
    <t>Current Issue</t>
  </si>
  <si>
    <t>Project</t>
  </si>
  <si>
    <t>Approver</t>
  </si>
  <si>
    <t>Client</t>
  </si>
  <si>
    <t>A</t>
  </si>
  <si>
    <t>d</t>
  </si>
  <si>
    <t xml:space="preserve"> </t>
  </si>
  <si>
    <t>=</t>
  </si>
  <si>
    <t>Material Properties:</t>
  </si>
  <si>
    <t>Allowable Stress Design</t>
  </si>
  <si>
    <t>Load Resistance Factor Design</t>
  </si>
  <si>
    <t>Design Shear Strength</t>
  </si>
  <si>
    <t>Beam</t>
  </si>
  <si>
    <t>L/C</t>
  </si>
  <si>
    <t>Node</t>
  </si>
  <si>
    <t>Max Fx</t>
  </si>
  <si>
    <t>Min Fx</t>
  </si>
  <si>
    <t>Max Fy</t>
  </si>
  <si>
    <t>Min Fy</t>
  </si>
  <si>
    <t>Max Fz</t>
  </si>
  <si>
    <t>Min Fz</t>
  </si>
  <si>
    <t>Max Mx</t>
  </si>
  <si>
    <t>Min Mx</t>
  </si>
  <si>
    <t>Max My</t>
  </si>
  <si>
    <t>Min My</t>
  </si>
  <si>
    <t>Max Mz</t>
  </si>
  <si>
    <t>Min Mz</t>
  </si>
  <si>
    <t>Fx kN</t>
  </si>
  <si>
    <t>Fy kN</t>
  </si>
  <si>
    <t>Fz kN</t>
  </si>
  <si>
    <t>Mx kN-m</t>
  </si>
  <si>
    <t>My kN-m</t>
  </si>
  <si>
    <t>Mz kN-m</t>
  </si>
  <si>
    <t>Pass: EngPro</t>
  </si>
  <si>
    <t>Version History:</t>
  </si>
  <si>
    <t>First Release</t>
  </si>
  <si>
    <t>Geometric Properties:</t>
  </si>
  <si>
    <t>-</t>
  </si>
  <si>
    <t>Grade</t>
  </si>
  <si>
    <t>Yield Stress</t>
  </si>
  <si>
    <t>Ultimate Stress</t>
  </si>
  <si>
    <t>Component</t>
  </si>
  <si>
    <t>Main Member</t>
  </si>
  <si>
    <t>Design Axial Tensile Strength</t>
  </si>
  <si>
    <t>Remarks</t>
  </si>
  <si>
    <t>K</t>
  </si>
  <si>
    <t>L</t>
  </si>
  <si>
    <t>KL/r</t>
  </si>
  <si>
    <t>Axial Force (kN)</t>
  </si>
  <si>
    <t>Shear Force (kN)</t>
  </si>
  <si>
    <t>Bending Moment (kNm)</t>
  </si>
  <si>
    <t>Conclusion:</t>
  </si>
  <si>
    <t>Notes:</t>
  </si>
  <si>
    <t>1. Negative Fx force indicates Tension in the member and vice versa.</t>
  </si>
  <si>
    <t>2. Tension in the member induces tension on the connection and vice versa.</t>
  </si>
  <si>
    <r>
      <t>mm</t>
    </r>
    <r>
      <rPr>
        <vertAlign val="superscript"/>
        <sz val="8"/>
        <color theme="1"/>
        <rFont val="Tahoma"/>
        <family val="2"/>
      </rPr>
      <t>3</t>
    </r>
  </si>
  <si>
    <r>
      <t>Permissible Stresses (N/mm</t>
    </r>
    <r>
      <rPr>
        <vertAlign val="superscript"/>
        <sz val="8"/>
        <color theme="1"/>
        <rFont val="Tahoma"/>
        <family val="2"/>
      </rPr>
      <t>2</t>
    </r>
    <r>
      <rPr>
        <sz val="8"/>
        <color theme="1"/>
        <rFont val="Tahoma"/>
        <family val="2"/>
      </rPr>
      <t>)</t>
    </r>
  </si>
  <si>
    <r>
      <t>Elastic Modulus 
(N/mm</t>
    </r>
    <r>
      <rPr>
        <vertAlign val="superscript"/>
        <sz val="8"/>
        <color theme="1"/>
        <rFont val="Tahoma"/>
        <family val="2"/>
      </rPr>
      <t>2</t>
    </r>
    <r>
      <rPr>
        <sz val="8"/>
        <color theme="1"/>
        <rFont val="Tahoma"/>
        <family val="2"/>
      </rPr>
      <t>)</t>
    </r>
  </si>
  <si>
    <r>
      <t>F</t>
    </r>
    <r>
      <rPr>
        <vertAlign val="subscript"/>
        <sz val="8"/>
        <color theme="1"/>
        <rFont val="Tahoma"/>
        <family val="2"/>
      </rPr>
      <t>e</t>
    </r>
  </si>
  <si>
    <t>Limiting Utilization Ratio for Design Purposes</t>
  </si>
  <si>
    <r>
      <t>M</t>
    </r>
    <r>
      <rPr>
        <vertAlign val="subscript"/>
        <sz val="8"/>
        <color theme="1"/>
        <rFont val="Tahoma"/>
        <family val="2"/>
      </rPr>
      <t>n</t>
    </r>
  </si>
  <si>
    <r>
      <t>L</t>
    </r>
    <r>
      <rPr>
        <vertAlign val="subscript"/>
        <sz val="8"/>
        <color theme="1"/>
        <rFont val="Tahoma"/>
        <family val="2"/>
      </rPr>
      <t>b</t>
    </r>
  </si>
  <si>
    <r>
      <t>C</t>
    </r>
    <r>
      <rPr>
        <vertAlign val="subscript"/>
        <sz val="8"/>
        <color theme="1"/>
        <rFont val="Tahoma"/>
        <family val="2"/>
      </rPr>
      <t>b</t>
    </r>
  </si>
  <si>
    <r>
      <t>F</t>
    </r>
    <r>
      <rPr>
        <vertAlign val="subscript"/>
        <sz val="8"/>
        <color theme="1"/>
        <rFont val="Tahoma"/>
        <family val="2"/>
      </rPr>
      <t>cr</t>
    </r>
  </si>
  <si>
    <t>Srinivas</t>
  </si>
  <si>
    <t>Output Extracted from STAAD Pro.[Copy the Force Summary from STAAD Pro., and Paste Here]:</t>
  </si>
  <si>
    <t>Version History of the Template</t>
  </si>
  <si>
    <t>Version</t>
  </si>
  <si>
    <t>Description of Change</t>
  </si>
  <si>
    <t>Issued Date</t>
  </si>
  <si>
    <t>Summary of Design Results</t>
  </si>
  <si>
    <t>J1705-S-C-0001</t>
  </si>
  <si>
    <t>Renovation of the Covering Shed</t>
  </si>
  <si>
    <t>M/s Gammon India Ltd.</t>
  </si>
  <si>
    <t>Database</t>
  </si>
  <si>
    <t>Choose the Main Member Section</t>
  </si>
  <si>
    <t>mm</t>
  </si>
  <si>
    <r>
      <t>mm</t>
    </r>
    <r>
      <rPr>
        <vertAlign val="superscript"/>
        <sz val="8"/>
        <color theme="1"/>
        <rFont val="Tahoma"/>
        <family val="2"/>
      </rPr>
      <t>4</t>
    </r>
  </si>
  <si>
    <r>
      <t>A</t>
    </r>
    <r>
      <rPr>
        <vertAlign val="subscript"/>
        <sz val="8"/>
        <color theme="1"/>
        <rFont val="Tahoma"/>
        <family val="2"/>
      </rPr>
      <t>g</t>
    </r>
  </si>
  <si>
    <t>h</t>
  </si>
  <si>
    <t>b</t>
  </si>
  <si>
    <r>
      <t>t</t>
    </r>
    <r>
      <rPr>
        <vertAlign val="subscript"/>
        <sz val="8"/>
        <color theme="1"/>
        <rFont val="Tahoma"/>
        <family val="2"/>
      </rPr>
      <t>w</t>
    </r>
  </si>
  <si>
    <r>
      <t>t</t>
    </r>
    <r>
      <rPr>
        <vertAlign val="subscript"/>
        <sz val="8"/>
        <color theme="1"/>
        <rFont val="Tahoma"/>
        <family val="2"/>
      </rPr>
      <t>f</t>
    </r>
  </si>
  <si>
    <r>
      <t>b</t>
    </r>
    <r>
      <rPr>
        <vertAlign val="subscript"/>
        <sz val="8"/>
        <color theme="1"/>
        <rFont val="Tahoma"/>
        <family val="2"/>
      </rPr>
      <t>f</t>
    </r>
  </si>
  <si>
    <t>k</t>
  </si>
  <si>
    <r>
      <t>mm</t>
    </r>
    <r>
      <rPr>
        <vertAlign val="superscript"/>
        <sz val="8"/>
        <color theme="1"/>
        <rFont val="Tahoma"/>
        <family val="2"/>
      </rPr>
      <t>2</t>
    </r>
  </si>
  <si>
    <r>
      <t>I</t>
    </r>
    <r>
      <rPr>
        <vertAlign val="subscript"/>
        <sz val="8"/>
        <color theme="1"/>
        <rFont val="Tahoma"/>
        <family val="2"/>
      </rPr>
      <t>x</t>
    </r>
  </si>
  <si>
    <r>
      <t>I</t>
    </r>
    <r>
      <rPr>
        <vertAlign val="subscript"/>
        <sz val="8"/>
        <color theme="1"/>
        <rFont val="Tahoma"/>
        <family val="2"/>
      </rPr>
      <t>y</t>
    </r>
  </si>
  <si>
    <r>
      <t>r</t>
    </r>
    <r>
      <rPr>
        <vertAlign val="subscript"/>
        <sz val="8"/>
        <color theme="1"/>
        <rFont val="Tahoma"/>
        <family val="2"/>
      </rPr>
      <t>x</t>
    </r>
  </si>
  <si>
    <r>
      <t>r</t>
    </r>
    <r>
      <rPr>
        <vertAlign val="subscript"/>
        <sz val="8"/>
        <color theme="1"/>
        <rFont val="Tahoma"/>
        <family val="2"/>
      </rPr>
      <t>y</t>
    </r>
  </si>
  <si>
    <t>J</t>
  </si>
  <si>
    <r>
      <t>mm</t>
    </r>
    <r>
      <rPr>
        <vertAlign val="superscript"/>
        <sz val="8"/>
        <color theme="1"/>
        <rFont val="Tahoma"/>
        <family val="2"/>
      </rPr>
      <t>6</t>
    </r>
  </si>
  <si>
    <r>
      <t>C</t>
    </r>
    <r>
      <rPr>
        <vertAlign val="subscript"/>
        <sz val="8"/>
        <color theme="1"/>
        <rFont val="Tahoma"/>
        <family val="2"/>
      </rPr>
      <t>w</t>
    </r>
  </si>
  <si>
    <r>
      <t>S</t>
    </r>
    <r>
      <rPr>
        <vertAlign val="subscript"/>
        <sz val="8"/>
        <color theme="1"/>
        <rFont val="Tahoma"/>
        <family val="2"/>
      </rPr>
      <t>x</t>
    </r>
  </si>
  <si>
    <r>
      <t>S</t>
    </r>
    <r>
      <rPr>
        <vertAlign val="subscript"/>
        <sz val="8"/>
        <color theme="1"/>
        <rFont val="Tahoma"/>
        <family val="2"/>
      </rPr>
      <t>y</t>
    </r>
  </si>
  <si>
    <r>
      <t>Z</t>
    </r>
    <r>
      <rPr>
        <vertAlign val="subscript"/>
        <sz val="8"/>
        <color theme="1"/>
        <rFont val="Tahoma"/>
        <family val="2"/>
      </rPr>
      <t>x</t>
    </r>
  </si>
  <si>
    <r>
      <t>Z</t>
    </r>
    <r>
      <rPr>
        <vertAlign val="subscript"/>
        <sz val="8"/>
        <color theme="1"/>
        <rFont val="Tahoma"/>
        <family val="2"/>
      </rPr>
      <t>y</t>
    </r>
  </si>
  <si>
    <t>1.0) Axial Tension:</t>
  </si>
  <si>
    <t>1.1) Limit State of Tensile Yielding:</t>
  </si>
  <si>
    <t>Nominal tensile strength</t>
  </si>
  <si>
    <r>
      <t>P</t>
    </r>
    <r>
      <rPr>
        <vertAlign val="subscript"/>
        <sz val="8"/>
        <color theme="1"/>
        <rFont val="Tahoma"/>
        <family val="2"/>
      </rPr>
      <t>n</t>
    </r>
  </si>
  <si>
    <r>
      <t>F</t>
    </r>
    <r>
      <rPr>
        <vertAlign val="subscript"/>
        <sz val="8"/>
        <color theme="1"/>
        <rFont val="Tahoma"/>
        <family val="2"/>
      </rPr>
      <t>y</t>
    </r>
    <r>
      <rPr>
        <sz val="8"/>
        <color theme="1"/>
        <rFont val="Tahoma"/>
        <family val="2"/>
      </rPr>
      <t xml:space="preserve"> A</t>
    </r>
    <r>
      <rPr>
        <vertAlign val="subscript"/>
        <sz val="8"/>
        <color theme="1"/>
        <rFont val="Tahoma"/>
        <family val="2"/>
      </rPr>
      <t>g</t>
    </r>
  </si>
  <si>
    <t>Net Sectional Area under Tensile Rupture (Percentage of Gross Area)</t>
  </si>
  <si>
    <t>1.2) Limit State of Tensile Rupture:</t>
  </si>
  <si>
    <r>
      <t>F</t>
    </r>
    <r>
      <rPr>
        <vertAlign val="subscript"/>
        <sz val="8"/>
        <color theme="1"/>
        <rFont val="Tahoma"/>
        <family val="2"/>
      </rPr>
      <t>u</t>
    </r>
    <r>
      <rPr>
        <sz val="8"/>
        <color theme="1"/>
        <rFont val="Tahoma"/>
        <family val="2"/>
      </rPr>
      <t xml:space="preserve"> A</t>
    </r>
    <r>
      <rPr>
        <vertAlign val="subscript"/>
        <sz val="8"/>
        <color theme="1"/>
        <rFont val="Tahoma"/>
        <family val="2"/>
      </rPr>
      <t>e</t>
    </r>
  </si>
  <si>
    <t>Shear lag factor</t>
  </si>
  <si>
    <t>U</t>
  </si>
  <si>
    <t>2.0) Axial Compression:</t>
  </si>
  <si>
    <t>Nominal compressive strength</t>
  </si>
  <si>
    <t>Start Joint</t>
  </si>
  <si>
    <t>End Joint</t>
  </si>
  <si>
    <t>Approximate effective length factor</t>
  </si>
  <si>
    <t>Least Radius of Gyration</t>
  </si>
  <si>
    <r>
      <t>r</t>
    </r>
    <r>
      <rPr>
        <vertAlign val="subscript"/>
        <sz val="8"/>
        <color theme="1"/>
        <rFont val="Tahoma"/>
        <family val="2"/>
      </rPr>
      <t>min</t>
    </r>
  </si>
  <si>
    <t>Slenderness Ratio</t>
  </si>
  <si>
    <t>Elastic Buckling Stress</t>
  </si>
  <si>
    <r>
      <t>F</t>
    </r>
    <r>
      <rPr>
        <vertAlign val="subscript"/>
        <sz val="8"/>
        <color theme="1"/>
        <rFont val="Tahoma"/>
        <family val="2"/>
      </rPr>
      <t>cr</t>
    </r>
    <r>
      <rPr>
        <sz val="8"/>
        <color theme="1"/>
        <rFont val="Tahoma"/>
        <family val="2"/>
      </rPr>
      <t xml:space="preserve"> A</t>
    </r>
    <r>
      <rPr>
        <vertAlign val="subscript"/>
        <sz val="8"/>
        <color theme="1"/>
        <rFont val="Tahoma"/>
        <family val="2"/>
      </rPr>
      <t>g</t>
    </r>
  </si>
  <si>
    <t>Critical Stress</t>
  </si>
  <si>
    <t>Design Axial Compressive Strength</t>
  </si>
  <si>
    <t>[E3-4]</t>
  </si>
  <si>
    <t>Element Slenderness Values:</t>
  </si>
  <si>
    <t>Compression:</t>
  </si>
  <si>
    <t>Unstiffened Elements (b/t)</t>
  </si>
  <si>
    <t>Calculated Value</t>
  </si>
  <si>
    <t>Compact</t>
  </si>
  <si>
    <t>Classification</t>
  </si>
  <si>
    <t>Limiting Value</t>
  </si>
  <si>
    <t>Limiting Values</t>
  </si>
  <si>
    <t>Non Compact</t>
  </si>
  <si>
    <t>Section Classification</t>
  </si>
  <si>
    <t>[B4.1]</t>
  </si>
  <si>
    <t>Shear Modulus of Elasticity of Steel</t>
  </si>
  <si>
    <t>[G]</t>
  </si>
  <si>
    <t>[E4-4]</t>
  </si>
  <si>
    <t>Lateral Unsupported Length of the Member</t>
  </si>
  <si>
    <t>Torsional Unbraced Length of the Member</t>
  </si>
  <si>
    <t>Flexural-Torsional Elastic Buckling Stress</t>
  </si>
  <si>
    <t>Approximate effective length factor (torsion)</t>
  </si>
  <si>
    <r>
      <t>K</t>
    </r>
    <r>
      <rPr>
        <vertAlign val="subscript"/>
        <sz val="8"/>
        <color theme="1"/>
        <rFont val="Tahoma"/>
        <family val="2"/>
      </rPr>
      <t>z</t>
    </r>
  </si>
  <si>
    <t>Reduction factor for Slender Unstiffened Elements</t>
  </si>
  <si>
    <r>
      <t>Q</t>
    </r>
    <r>
      <rPr>
        <vertAlign val="subscript"/>
        <sz val="8"/>
        <color theme="1"/>
        <rFont val="Tahoma"/>
        <family val="2"/>
      </rPr>
      <t>s</t>
    </r>
  </si>
  <si>
    <t>Reduction factor for Slender Stiffened Elements</t>
  </si>
  <si>
    <r>
      <t>Q</t>
    </r>
    <r>
      <rPr>
        <vertAlign val="subscript"/>
        <sz val="8"/>
        <color theme="1"/>
        <rFont val="Tahoma"/>
        <family val="2"/>
      </rPr>
      <t>a</t>
    </r>
  </si>
  <si>
    <t>Net Reduction factor for all Slender Compression Elements</t>
  </si>
  <si>
    <t>Q</t>
  </si>
  <si>
    <t>Actual Width of the Stiffened Element</t>
  </si>
  <si>
    <t>Effective Width of the Stiffened Element</t>
  </si>
  <si>
    <r>
      <t>b</t>
    </r>
    <r>
      <rPr>
        <vertAlign val="subscript"/>
        <sz val="8"/>
        <color theme="1"/>
        <rFont val="Tahoma"/>
        <family val="2"/>
      </rPr>
      <t>e</t>
    </r>
  </si>
  <si>
    <t>Critical Stress with Q = 1.0</t>
  </si>
  <si>
    <r>
      <t>F</t>
    </r>
    <r>
      <rPr>
        <vertAlign val="subscript"/>
        <sz val="8"/>
        <color theme="1"/>
        <rFont val="Tahoma"/>
        <family val="2"/>
      </rPr>
      <t>cr,1.0</t>
    </r>
  </si>
  <si>
    <t>3.1) Limit State of Yielding:</t>
  </si>
  <si>
    <r>
      <t>L</t>
    </r>
    <r>
      <rPr>
        <vertAlign val="subscript"/>
        <sz val="8"/>
        <color theme="1"/>
        <rFont val="Tahoma"/>
        <family val="2"/>
      </rPr>
      <t>t</t>
    </r>
  </si>
  <si>
    <r>
      <t>M</t>
    </r>
    <r>
      <rPr>
        <vertAlign val="subscript"/>
        <sz val="8"/>
        <color theme="1"/>
        <rFont val="Tahoma"/>
        <family val="2"/>
      </rPr>
      <t>max</t>
    </r>
  </si>
  <si>
    <r>
      <t>M</t>
    </r>
    <r>
      <rPr>
        <vertAlign val="subscript"/>
        <sz val="8"/>
        <color theme="1"/>
        <rFont val="Tahoma"/>
        <family val="2"/>
      </rPr>
      <t>A</t>
    </r>
  </si>
  <si>
    <r>
      <t>M</t>
    </r>
    <r>
      <rPr>
        <vertAlign val="subscript"/>
        <sz val="8"/>
        <color theme="1"/>
        <rFont val="Tahoma"/>
        <family val="2"/>
      </rPr>
      <t>B</t>
    </r>
  </si>
  <si>
    <t>Absolute Moments in Unbraced Segment for Flexural Strength:</t>
  </si>
  <si>
    <t>Maximum Moment</t>
  </si>
  <si>
    <t>Moment at Quarter Point</t>
  </si>
  <si>
    <t>Moment at Centre Point</t>
  </si>
  <si>
    <t>Moment at Three-Quarter Point</t>
  </si>
  <si>
    <r>
      <t>M</t>
    </r>
    <r>
      <rPr>
        <vertAlign val="subscript"/>
        <sz val="8"/>
        <color theme="1"/>
        <rFont val="Tahoma"/>
        <family val="2"/>
      </rPr>
      <t>C</t>
    </r>
  </si>
  <si>
    <t>Member End Conditions:</t>
  </si>
  <si>
    <t>Nominal flexural strength</t>
  </si>
  <si>
    <r>
      <t>M</t>
    </r>
    <r>
      <rPr>
        <vertAlign val="subscript"/>
        <sz val="8"/>
        <color theme="1"/>
        <rFont val="Tahoma"/>
        <family val="2"/>
      </rPr>
      <t>p</t>
    </r>
  </si>
  <si>
    <t>Plastic moment capacity of the section</t>
  </si>
  <si>
    <r>
      <t>F</t>
    </r>
    <r>
      <rPr>
        <vertAlign val="subscript"/>
        <sz val="8"/>
        <color theme="1"/>
        <rFont val="Tahoma"/>
        <family val="2"/>
      </rPr>
      <t>y</t>
    </r>
    <r>
      <rPr>
        <sz val="8"/>
        <color theme="1"/>
        <rFont val="Tahoma"/>
        <family val="2"/>
      </rPr>
      <t xml:space="preserve"> Z</t>
    </r>
    <r>
      <rPr>
        <vertAlign val="subscript"/>
        <sz val="8"/>
        <color theme="1"/>
        <rFont val="Tahoma"/>
        <family val="2"/>
      </rPr>
      <t>x</t>
    </r>
  </si>
  <si>
    <t>Length between braced points</t>
  </si>
  <si>
    <t>Design Flexural Strength</t>
  </si>
  <si>
    <t>Reduction Factor/Safety Factor</t>
  </si>
  <si>
    <t>Limiting Length</t>
  </si>
  <si>
    <r>
      <t>L</t>
    </r>
    <r>
      <rPr>
        <vertAlign val="subscript"/>
        <sz val="8"/>
        <color theme="1"/>
        <rFont val="Tahoma"/>
        <family val="2"/>
      </rPr>
      <t>p</t>
    </r>
  </si>
  <si>
    <r>
      <t>L</t>
    </r>
    <r>
      <rPr>
        <vertAlign val="subscript"/>
        <sz val="8"/>
        <color theme="1"/>
        <rFont val="Tahoma"/>
        <family val="2"/>
      </rPr>
      <t>r</t>
    </r>
  </si>
  <si>
    <r>
      <t>r</t>
    </r>
    <r>
      <rPr>
        <vertAlign val="subscript"/>
        <sz val="8"/>
        <color theme="1"/>
        <rFont val="Tahoma"/>
        <family val="2"/>
      </rPr>
      <t>ts</t>
    </r>
  </si>
  <si>
    <t>c</t>
  </si>
  <si>
    <t>[F2-5]</t>
  </si>
  <si>
    <t>[F2-6]</t>
  </si>
  <si>
    <r>
      <t>h</t>
    </r>
    <r>
      <rPr>
        <vertAlign val="subscript"/>
        <sz val="8"/>
        <color theme="1"/>
        <rFont val="Tahoma"/>
        <family val="2"/>
      </rPr>
      <t>0</t>
    </r>
  </si>
  <si>
    <t>Distance between centroids of flanges</t>
  </si>
  <si>
    <t>[F1-1]</t>
  </si>
  <si>
    <t>Lateral-torsional buckling modification factor</t>
  </si>
  <si>
    <t>[F2-4]</t>
  </si>
  <si>
    <t>3.2) Limit State of Lateral-Torsional Buckling:</t>
  </si>
  <si>
    <t>3.3) Limit State of Lateral-Torsional Buckling:</t>
  </si>
  <si>
    <t>3.4) Compression Flange Local Buckling:</t>
  </si>
  <si>
    <r>
      <t>k</t>
    </r>
    <r>
      <rPr>
        <vertAlign val="subscript"/>
        <sz val="8"/>
        <color theme="1"/>
        <rFont val="Tahoma"/>
        <family val="2"/>
      </rPr>
      <t>c</t>
    </r>
  </si>
  <si>
    <t>3.0) Flexure (Major Axis Bending):</t>
  </si>
  <si>
    <t>Case 1 : Compact I-Shaped Members</t>
  </si>
  <si>
    <t>Case 2 : I-Shaped Members with Compact Webs and Non Compact or Slender Flanges</t>
  </si>
  <si>
    <t>Case 3 : I-Shaped Members with Compact or Non Compact Webs</t>
  </si>
  <si>
    <t>3.5) Compression Flange Yielding:</t>
  </si>
  <si>
    <t>y</t>
  </si>
  <si>
    <r>
      <t>h</t>
    </r>
    <r>
      <rPr>
        <vertAlign val="subscript"/>
        <sz val="8"/>
        <color theme="1"/>
        <rFont val="Tahoma"/>
        <family val="2"/>
      </rPr>
      <t>c</t>
    </r>
  </si>
  <si>
    <t>Properties for Calculating Nominal Strength:</t>
  </si>
  <si>
    <r>
      <t>a</t>
    </r>
    <r>
      <rPr>
        <vertAlign val="subscript"/>
        <sz val="8"/>
        <color theme="1"/>
        <rFont val="Tahoma"/>
        <family val="2"/>
      </rPr>
      <t>w</t>
    </r>
  </si>
  <si>
    <t>[F4-12]</t>
  </si>
  <si>
    <r>
      <t>b</t>
    </r>
    <r>
      <rPr>
        <vertAlign val="subscript"/>
        <sz val="8"/>
        <color theme="1"/>
        <rFont val="Tahoma"/>
        <family val="2"/>
      </rPr>
      <t>fc</t>
    </r>
  </si>
  <si>
    <r>
      <t>t</t>
    </r>
    <r>
      <rPr>
        <vertAlign val="subscript"/>
        <sz val="8"/>
        <color theme="1"/>
        <rFont val="Tahoma"/>
        <family val="2"/>
      </rPr>
      <t>fc</t>
    </r>
  </si>
  <si>
    <r>
      <t>r</t>
    </r>
    <r>
      <rPr>
        <vertAlign val="subscript"/>
        <sz val="8"/>
        <color theme="1"/>
        <rFont val="Tahoma"/>
        <family val="2"/>
      </rPr>
      <t>t</t>
    </r>
  </si>
  <si>
    <t>[F4-11]</t>
  </si>
  <si>
    <t>l</t>
  </si>
  <si>
    <r>
      <t>l</t>
    </r>
    <r>
      <rPr>
        <vertAlign val="subscript"/>
        <sz val="8"/>
        <color theme="1"/>
        <rFont val="Tahoma"/>
        <family val="2"/>
      </rPr>
      <t>pw</t>
    </r>
  </si>
  <si>
    <r>
      <t>l</t>
    </r>
    <r>
      <rPr>
        <vertAlign val="subscript"/>
        <sz val="8"/>
        <color theme="1"/>
        <rFont val="Tahoma"/>
        <family val="2"/>
      </rPr>
      <t>rw</t>
    </r>
  </si>
  <si>
    <r>
      <t>Stiffened Elements (h/t</t>
    </r>
    <r>
      <rPr>
        <vertAlign val="subscript"/>
        <sz val="8"/>
        <color theme="1"/>
        <rFont val="Tahoma"/>
        <family val="2"/>
      </rPr>
      <t>w</t>
    </r>
    <r>
      <rPr>
        <sz val="8"/>
        <color theme="1"/>
        <rFont val="Tahoma"/>
        <family val="2"/>
      </rPr>
      <t>)</t>
    </r>
  </si>
  <si>
    <r>
      <t>S</t>
    </r>
    <r>
      <rPr>
        <vertAlign val="subscript"/>
        <sz val="8"/>
        <color theme="1"/>
        <rFont val="Tahoma"/>
        <family val="2"/>
      </rPr>
      <t>xc</t>
    </r>
  </si>
  <si>
    <r>
      <t>S</t>
    </r>
    <r>
      <rPr>
        <vertAlign val="subscript"/>
        <sz val="8"/>
        <color theme="1"/>
        <rFont val="Tahoma"/>
        <family val="2"/>
      </rPr>
      <t>xt</t>
    </r>
  </si>
  <si>
    <r>
      <t>M</t>
    </r>
    <r>
      <rPr>
        <vertAlign val="subscript"/>
        <sz val="8"/>
        <color theme="1"/>
        <rFont val="Tahoma"/>
        <family val="2"/>
      </rPr>
      <t>yc</t>
    </r>
  </si>
  <si>
    <r>
      <t>I</t>
    </r>
    <r>
      <rPr>
        <vertAlign val="subscript"/>
        <sz val="8"/>
        <color theme="1"/>
        <rFont val="Tahoma"/>
        <family val="2"/>
      </rPr>
      <t>yc</t>
    </r>
  </si>
  <si>
    <r>
      <t>F</t>
    </r>
    <r>
      <rPr>
        <vertAlign val="subscript"/>
        <sz val="8"/>
        <color theme="1"/>
        <rFont val="Tahoma"/>
        <family val="2"/>
      </rPr>
      <t>L</t>
    </r>
  </si>
  <si>
    <r>
      <t>R</t>
    </r>
    <r>
      <rPr>
        <vertAlign val="subscript"/>
        <sz val="8"/>
        <color theme="1"/>
        <rFont val="Tahoma"/>
        <family val="2"/>
      </rPr>
      <t>pc</t>
    </r>
  </si>
  <si>
    <t>[F4-7]</t>
  </si>
  <si>
    <t>[F4-8]</t>
  </si>
  <si>
    <t>[F4-5]</t>
  </si>
  <si>
    <t>[F4-1]</t>
  </si>
  <si>
    <t>3.6) Lateral-Torsional Buckling:</t>
  </si>
  <si>
    <t>Refer to Section 3.2 above</t>
  </si>
  <si>
    <t>3.7) Compression Flange Local Buckling:</t>
  </si>
  <si>
    <t>3.8) Tension Flange Yielding:</t>
  </si>
  <si>
    <r>
      <t>M</t>
    </r>
    <r>
      <rPr>
        <vertAlign val="subscript"/>
        <sz val="8"/>
        <color theme="1"/>
        <rFont val="Tahoma"/>
        <family val="2"/>
      </rPr>
      <t>yt</t>
    </r>
  </si>
  <si>
    <r>
      <t>R</t>
    </r>
    <r>
      <rPr>
        <vertAlign val="subscript"/>
        <sz val="8"/>
        <color theme="1"/>
        <rFont val="Tahoma"/>
        <family val="2"/>
      </rPr>
      <t>pt</t>
    </r>
  </si>
  <si>
    <t>Case 4 : I-Shaped Members with Slender Webs</t>
  </si>
  <si>
    <t>[F5-5]</t>
  </si>
  <si>
    <r>
      <t>R</t>
    </r>
    <r>
      <rPr>
        <vertAlign val="subscript"/>
        <sz val="8"/>
        <color theme="1"/>
        <rFont val="Tahoma"/>
        <family val="2"/>
      </rPr>
      <t>pg</t>
    </r>
  </si>
  <si>
    <t>[F5-6]</t>
  </si>
  <si>
    <t>[F5-1]</t>
  </si>
  <si>
    <t>[F5-2]</t>
  </si>
  <si>
    <t>3.9) Compression Flange Yielding:</t>
  </si>
  <si>
    <t>3.10) Lateral-Torsional Buckling:</t>
  </si>
  <si>
    <t>3.11) Compression Flange Local Buckling:</t>
  </si>
  <si>
    <t>3.12) Tension Flange Yielding:</t>
  </si>
  <si>
    <t>[F5-7]</t>
  </si>
  <si>
    <t>4.0) Flexure (Minor Axis Bending):</t>
  </si>
  <si>
    <t>4.1) Yielding:</t>
  </si>
  <si>
    <t>[F6-1]</t>
  </si>
  <si>
    <r>
      <t>F</t>
    </r>
    <r>
      <rPr>
        <vertAlign val="subscript"/>
        <sz val="8"/>
        <color theme="1"/>
        <rFont val="Tahoma"/>
        <family val="2"/>
      </rPr>
      <t>y</t>
    </r>
    <r>
      <rPr>
        <sz val="8"/>
        <color theme="1"/>
        <rFont val="Tahoma"/>
        <family val="2"/>
      </rPr>
      <t xml:space="preserve"> Z</t>
    </r>
    <r>
      <rPr>
        <vertAlign val="subscript"/>
        <sz val="8"/>
        <color theme="1"/>
        <rFont val="Tahoma"/>
        <family val="2"/>
      </rPr>
      <t>y</t>
    </r>
  </si>
  <si>
    <t>4.2) Flange Local Buckling:</t>
  </si>
  <si>
    <t>[F6-4]</t>
  </si>
  <si>
    <t>Cross Section of the Member</t>
  </si>
  <si>
    <t>4.0) Shear (Strong Axis):</t>
  </si>
  <si>
    <t>Nominal shear strength</t>
  </si>
  <si>
    <r>
      <t>V</t>
    </r>
    <r>
      <rPr>
        <vertAlign val="subscript"/>
        <sz val="8"/>
        <color theme="1"/>
        <rFont val="Tahoma"/>
        <family val="2"/>
      </rPr>
      <t>n</t>
    </r>
  </si>
  <si>
    <r>
      <t>C</t>
    </r>
    <r>
      <rPr>
        <vertAlign val="subscript"/>
        <sz val="8"/>
        <color theme="1"/>
        <rFont val="Tahoma"/>
        <family val="2"/>
      </rPr>
      <t>v</t>
    </r>
  </si>
  <si>
    <r>
      <t>k</t>
    </r>
    <r>
      <rPr>
        <vertAlign val="subscript"/>
        <sz val="8"/>
        <color theme="1"/>
        <rFont val="Tahoma"/>
        <family val="2"/>
      </rPr>
      <t>v</t>
    </r>
  </si>
  <si>
    <t>Transverse Stiffeners for Webs</t>
  </si>
  <si>
    <t>Yes</t>
  </si>
  <si>
    <t>Thickness of the Transverse Stiffeners</t>
  </si>
  <si>
    <t>Spacing of the Transverse Stiffeners</t>
  </si>
  <si>
    <t>a</t>
  </si>
  <si>
    <r>
      <t>t</t>
    </r>
    <r>
      <rPr>
        <vertAlign val="subscript"/>
        <sz val="8"/>
        <color theme="1"/>
        <rFont val="Tahoma"/>
        <family val="2"/>
      </rPr>
      <t>s</t>
    </r>
  </si>
  <si>
    <t>Required Shear Strength of the Member</t>
  </si>
  <si>
    <r>
      <t>V</t>
    </r>
    <r>
      <rPr>
        <vertAlign val="subscript"/>
        <sz val="8"/>
        <color theme="1"/>
        <rFont val="Tahoma"/>
        <family val="2"/>
      </rPr>
      <t>r</t>
    </r>
  </si>
  <si>
    <t>4.2) Transverse Stiffeners:</t>
  </si>
  <si>
    <t>Method of Design</t>
  </si>
  <si>
    <t>Moment of Inertia of the Stiffeners Required</t>
  </si>
  <si>
    <t>[G2-7]</t>
  </si>
  <si>
    <r>
      <t>I</t>
    </r>
    <r>
      <rPr>
        <vertAlign val="subscript"/>
        <sz val="8"/>
        <color theme="1"/>
        <rFont val="Tahoma"/>
        <family val="2"/>
      </rPr>
      <t>st</t>
    </r>
  </si>
  <si>
    <t>≥</t>
  </si>
  <si>
    <t>[G2-8]</t>
  </si>
  <si>
    <t>j</t>
  </si>
  <si>
    <t>Configuration of the Transverse Stiffeners</t>
  </si>
  <si>
    <t>Both Sides</t>
  </si>
  <si>
    <t>Input for Shear Calculations:</t>
  </si>
  <si>
    <t>Input for Flexure Calculations:</t>
  </si>
  <si>
    <t>Input for Axial Strength Calculations:</t>
  </si>
  <si>
    <r>
      <t>I</t>
    </r>
    <r>
      <rPr>
        <vertAlign val="subscript"/>
        <sz val="8"/>
        <color theme="1"/>
        <rFont val="Tahoma"/>
        <family val="2"/>
      </rPr>
      <t>st,pro</t>
    </r>
  </si>
  <si>
    <t>5.0) Shear (Weak Axis):</t>
  </si>
  <si>
    <t>5.1) Yielding:</t>
  </si>
  <si>
    <t>[G7]</t>
  </si>
  <si>
    <t>Note: Total Design Shear Strength (Weak Axis) is Calculated Considering Both the Flanges</t>
  </si>
  <si>
    <t>DESIGN OF STRUCTURAL STEEL MEMBER</t>
  </si>
  <si>
    <t>Member</t>
  </si>
  <si>
    <t>Results Summary:</t>
  </si>
  <si>
    <t>Load Combination</t>
  </si>
  <si>
    <t>Compression</t>
  </si>
  <si>
    <t>Tension</t>
  </si>
  <si>
    <t>Major Axis</t>
  </si>
  <si>
    <t>Minor Axis</t>
  </si>
  <si>
    <t>Strong Axis</t>
  </si>
  <si>
    <t>Weak Axis</t>
  </si>
  <si>
    <r>
      <t>P</t>
    </r>
    <r>
      <rPr>
        <vertAlign val="subscript"/>
        <sz val="8"/>
        <color theme="1"/>
        <rFont val="Tahoma"/>
        <family val="2"/>
      </rPr>
      <t>r</t>
    </r>
    <r>
      <rPr>
        <sz val="8"/>
        <color theme="1"/>
        <rFont val="Tahoma"/>
        <family val="2"/>
      </rPr>
      <t>/P</t>
    </r>
    <r>
      <rPr>
        <vertAlign val="subscript"/>
        <sz val="8"/>
        <color theme="1"/>
        <rFont val="Tahoma"/>
        <family val="2"/>
      </rPr>
      <t>c</t>
    </r>
  </si>
  <si>
    <t>Interacton Ratio</t>
  </si>
  <si>
    <t>Sec. H1.1</t>
  </si>
  <si>
    <t>Design Strengths:</t>
  </si>
  <si>
    <t>From Manual Calculations</t>
  </si>
  <si>
    <t>From STAAD.Pro</t>
  </si>
  <si>
    <t>Percentage Difference in Strength Calculated w.r.t STAAD.Pro</t>
  </si>
  <si>
    <t>Governing Design Details:</t>
  </si>
  <si>
    <t>STAAD Member No.</t>
  </si>
  <si>
    <t>Load Combination No.</t>
  </si>
  <si>
    <t>Governing</t>
  </si>
  <si>
    <t>Design of Structural Steel Member</t>
  </si>
  <si>
    <t>Utilization Ratios</t>
  </si>
  <si>
    <t>Weights</t>
  </si>
  <si>
    <t>Databases Incorporated.</t>
  </si>
  <si>
    <t>In-Spreadsheet Code Incorporated. To be Modified with Add-Ins</t>
  </si>
  <si>
    <t>Design Precision for Finding the Economical Section</t>
  </si>
  <si>
    <t>Code for finding the Economical Section and Progress Bar are Incorporated.</t>
  </si>
  <si>
    <t>VBA Code Updated.</t>
  </si>
  <si>
    <t>Russian Section Database Incorporated. AddIn Module Upgraded.</t>
  </si>
  <si>
    <t>Rotation Fixed and Translation Fixed</t>
  </si>
  <si>
    <t>Effective Length Factor Updated</t>
  </si>
  <si>
    <t>Effective Length Factor Calculation as per the User Selected Boundary Conditions Updated.</t>
  </si>
  <si>
    <t>Xtractor AddIn Incorporated</t>
  </si>
  <si>
    <t>Xtractor v2018.02.0.20 Incorporated. Code upgraded to suit this AddIn</t>
  </si>
  <si>
    <t>Designation</t>
  </si>
  <si>
    <t>Mass (FPS)</t>
  </si>
  <si>
    <t>Mass (SI)</t>
  </si>
  <si>
    <t>f</t>
  </si>
  <si>
    <r>
      <t>r</t>
    </r>
    <r>
      <rPr>
        <vertAlign val="subscript"/>
        <sz val="8"/>
        <color theme="1"/>
        <rFont val="Tahoma"/>
        <family val="2"/>
      </rPr>
      <t>2</t>
    </r>
  </si>
  <si>
    <r>
      <t>h</t>
    </r>
    <r>
      <rPr>
        <vertAlign val="subscript"/>
        <sz val="8"/>
        <color theme="1"/>
        <rFont val="Tahoma"/>
        <family val="2"/>
      </rPr>
      <t>i</t>
    </r>
  </si>
  <si>
    <r>
      <t>p</t>
    </r>
    <r>
      <rPr>
        <vertAlign val="subscript"/>
        <sz val="8"/>
        <color theme="1"/>
        <rFont val="Tahoma"/>
        <family val="2"/>
      </rPr>
      <t>min</t>
    </r>
  </si>
  <si>
    <r>
      <t>p</t>
    </r>
    <r>
      <rPr>
        <vertAlign val="subscript"/>
        <sz val="8"/>
        <color theme="1"/>
        <rFont val="Tahoma"/>
        <family val="2"/>
      </rPr>
      <t>max</t>
    </r>
  </si>
  <si>
    <r>
      <t>A</t>
    </r>
    <r>
      <rPr>
        <vertAlign val="subscript"/>
        <sz val="8"/>
        <color theme="1"/>
        <rFont val="Tahoma"/>
        <family val="2"/>
      </rPr>
      <t>LO</t>
    </r>
    <r>
      <rPr>
        <sz val="8"/>
        <color theme="1"/>
        <rFont val="Tahoma"/>
        <family val="2"/>
      </rPr>
      <t>/A</t>
    </r>
    <r>
      <rPr>
        <vertAlign val="subscript"/>
        <sz val="8"/>
        <color theme="1"/>
        <rFont val="Tahoma"/>
        <family val="2"/>
      </rPr>
      <t>L</t>
    </r>
  </si>
  <si>
    <r>
      <t>A</t>
    </r>
    <r>
      <rPr>
        <vertAlign val="subscript"/>
        <sz val="8"/>
        <color theme="1"/>
        <rFont val="Tahoma"/>
        <family val="2"/>
      </rPr>
      <t>LI</t>
    </r>
  </si>
  <si>
    <r>
      <t>A</t>
    </r>
    <r>
      <rPr>
        <vertAlign val="subscript"/>
        <sz val="8"/>
        <color theme="1"/>
        <rFont val="Tahoma"/>
        <family val="2"/>
      </rPr>
      <t>GO</t>
    </r>
    <r>
      <rPr>
        <sz val="8"/>
        <color theme="1"/>
        <rFont val="Tahoma"/>
        <family val="2"/>
      </rPr>
      <t>/A</t>
    </r>
    <r>
      <rPr>
        <vertAlign val="subscript"/>
        <sz val="8"/>
        <color theme="1"/>
        <rFont val="Tahoma"/>
        <family val="2"/>
      </rPr>
      <t>G</t>
    </r>
  </si>
  <si>
    <r>
      <t>A</t>
    </r>
    <r>
      <rPr>
        <vertAlign val="subscript"/>
        <sz val="8"/>
        <color theme="1"/>
        <rFont val="Tahoma"/>
        <family val="2"/>
      </rPr>
      <t>GI</t>
    </r>
  </si>
  <si>
    <r>
      <t>W</t>
    </r>
    <r>
      <rPr>
        <vertAlign val="subscript"/>
        <sz val="8"/>
        <color theme="1"/>
        <rFont val="Tahoma"/>
        <family val="2"/>
      </rPr>
      <t>ely</t>
    </r>
  </si>
  <si>
    <r>
      <t>W</t>
    </r>
    <r>
      <rPr>
        <vertAlign val="subscript"/>
        <sz val="8"/>
        <color theme="1"/>
        <rFont val="Tahoma"/>
        <family val="2"/>
      </rPr>
      <t>ply</t>
    </r>
  </si>
  <si>
    <r>
      <t>i</t>
    </r>
    <r>
      <rPr>
        <vertAlign val="subscript"/>
        <sz val="8"/>
        <color theme="1"/>
        <rFont val="Tahoma"/>
        <family val="2"/>
      </rPr>
      <t>y</t>
    </r>
  </si>
  <si>
    <r>
      <t>A</t>
    </r>
    <r>
      <rPr>
        <vertAlign val="subscript"/>
        <sz val="8"/>
        <color theme="1"/>
        <rFont val="Tahoma"/>
        <family val="2"/>
      </rPr>
      <t>vz</t>
    </r>
  </si>
  <si>
    <r>
      <t>I</t>
    </r>
    <r>
      <rPr>
        <vertAlign val="subscript"/>
        <sz val="8"/>
        <color theme="1"/>
        <rFont val="Tahoma"/>
        <family val="2"/>
      </rPr>
      <t>z</t>
    </r>
  </si>
  <si>
    <r>
      <t>W</t>
    </r>
    <r>
      <rPr>
        <vertAlign val="subscript"/>
        <sz val="8"/>
        <color theme="1"/>
        <rFont val="Tahoma"/>
        <family val="2"/>
      </rPr>
      <t>elz</t>
    </r>
  </si>
  <si>
    <r>
      <t>W</t>
    </r>
    <r>
      <rPr>
        <vertAlign val="subscript"/>
        <sz val="8"/>
        <color theme="1"/>
        <rFont val="Tahoma"/>
        <family val="2"/>
      </rPr>
      <t>plz</t>
    </r>
  </si>
  <si>
    <r>
      <t>i</t>
    </r>
    <r>
      <rPr>
        <vertAlign val="subscript"/>
        <sz val="8"/>
        <color theme="1"/>
        <rFont val="Tahoma"/>
        <family val="2"/>
      </rPr>
      <t>z</t>
    </r>
  </si>
  <si>
    <r>
      <t>A</t>
    </r>
    <r>
      <rPr>
        <vertAlign val="subscript"/>
        <sz val="8"/>
        <color theme="1"/>
        <rFont val="Tahoma"/>
        <family val="2"/>
      </rPr>
      <t>vy</t>
    </r>
  </si>
  <si>
    <r>
      <t>s</t>
    </r>
    <r>
      <rPr>
        <vertAlign val="subscript"/>
        <sz val="8"/>
        <color theme="1"/>
        <rFont val="Tahoma"/>
        <family val="2"/>
      </rPr>
      <t>s</t>
    </r>
  </si>
  <si>
    <r>
      <t>I</t>
    </r>
    <r>
      <rPr>
        <vertAlign val="subscript"/>
        <sz val="8"/>
        <color theme="1"/>
        <rFont val="Tahoma"/>
        <family val="2"/>
      </rPr>
      <t>t</t>
    </r>
  </si>
  <si>
    <r>
      <t>I</t>
    </r>
    <r>
      <rPr>
        <vertAlign val="subscript"/>
        <sz val="8"/>
        <color theme="1"/>
        <rFont val="Tahoma"/>
        <family val="2"/>
      </rPr>
      <t>w</t>
    </r>
  </si>
  <si>
    <t>kg/m</t>
  </si>
  <si>
    <t>lb/ft</t>
  </si>
  <si>
    <r>
      <t>mm</t>
    </r>
    <r>
      <rPr>
        <vertAlign val="superscript"/>
        <sz val="8"/>
        <color theme="1"/>
        <rFont val="Tahoma"/>
        <family val="2"/>
      </rPr>
      <t>2</t>
    </r>
    <r>
      <rPr>
        <sz val="8"/>
        <color theme="1"/>
        <rFont val="Tahoma"/>
        <family val="2"/>
      </rPr>
      <t>/t</t>
    </r>
  </si>
  <si>
    <t>deg.</t>
  </si>
  <si>
    <r>
      <t>r</t>
    </r>
    <r>
      <rPr>
        <vertAlign val="subscript"/>
        <sz val="8"/>
        <color theme="1"/>
        <rFont val="Tahoma"/>
        <family val="2"/>
      </rPr>
      <t>1</t>
    </r>
    <r>
      <rPr>
        <sz val="8"/>
        <color theme="1"/>
        <rFont val="Tahoma"/>
        <family val="2"/>
      </rPr>
      <t>/r</t>
    </r>
  </si>
  <si>
    <r>
      <t>k</t>
    </r>
    <r>
      <rPr>
        <vertAlign val="subscript"/>
        <sz val="8"/>
        <color theme="1"/>
        <rFont val="Tahoma"/>
        <family val="2"/>
      </rPr>
      <t>1</t>
    </r>
  </si>
  <si>
    <t>Xtractor AddIn Upgraded</t>
  </si>
  <si>
    <t>Xtractor Upgraded to v2018.02.1.0</t>
  </si>
  <si>
    <r>
      <t>C</t>
    </r>
    <r>
      <rPr>
        <vertAlign val="subscript"/>
        <sz val="8"/>
        <color theme="1"/>
        <rFont val="Tahoma"/>
        <family val="2"/>
      </rPr>
      <t>y</t>
    </r>
  </si>
  <si>
    <r>
      <t>C</t>
    </r>
    <r>
      <rPr>
        <vertAlign val="subscript"/>
        <sz val="8"/>
        <color theme="1"/>
        <rFont val="Tahoma"/>
        <family val="2"/>
      </rPr>
      <t>z</t>
    </r>
  </si>
  <si>
    <r>
      <t>e</t>
    </r>
    <r>
      <rPr>
        <vertAlign val="subscript"/>
        <sz val="8"/>
        <color theme="1"/>
        <rFont val="Tahoma"/>
        <family val="2"/>
      </rPr>
      <t>y</t>
    </r>
  </si>
  <si>
    <r>
      <t>e</t>
    </r>
    <r>
      <rPr>
        <vertAlign val="subscript"/>
        <sz val="8"/>
        <color theme="1"/>
        <rFont val="Tahoma"/>
        <family val="2"/>
      </rPr>
      <t>z</t>
    </r>
  </si>
  <si>
    <t>Flexure (Both Major and Minor Axis):</t>
  </si>
  <si>
    <t>Bug in Economical Section Calculation is Fixed</t>
  </si>
  <si>
    <t>Reduced Effective Width Calculation is Resulting in a Negative Value Causing #NUM! Error.</t>
  </si>
  <si>
    <t>Rotation Free and Translation Fixed</t>
  </si>
  <si>
    <t>LRFD</t>
  </si>
  <si>
    <t>173 LC 10(1)</t>
  </si>
  <si>
    <t>145 LC 6(5)</t>
  </si>
  <si>
    <t>177 LC 10(5)</t>
  </si>
  <si>
    <t>205 LC 14(1)</t>
  </si>
  <si>
    <t>209 LC 14(5)</t>
  </si>
  <si>
    <t>Code</t>
  </si>
  <si>
    <t>IFR</t>
  </si>
  <si>
    <t>Revision</t>
  </si>
  <si>
    <t>Date</t>
  </si>
  <si>
    <r>
      <t>I</t>
    </r>
    <r>
      <rPr>
        <vertAlign val="subscript"/>
        <sz val="8"/>
        <color theme="1"/>
        <rFont val="Tahoma"/>
        <family val="2"/>
      </rPr>
      <t>u</t>
    </r>
  </si>
  <si>
    <r>
      <t>I</t>
    </r>
    <r>
      <rPr>
        <vertAlign val="subscript"/>
        <sz val="8"/>
        <color theme="1"/>
        <rFont val="Tahoma"/>
        <family val="2"/>
      </rPr>
      <t>v</t>
    </r>
  </si>
  <si>
    <r>
      <t>r</t>
    </r>
    <r>
      <rPr>
        <vertAlign val="subscript"/>
        <sz val="8"/>
        <color theme="1"/>
        <rFont val="Tahoma"/>
        <family val="2"/>
      </rPr>
      <t>u</t>
    </r>
  </si>
  <si>
    <r>
      <t>r</t>
    </r>
    <r>
      <rPr>
        <vertAlign val="subscript"/>
        <sz val="8"/>
        <color theme="1"/>
        <rFont val="Tahoma"/>
        <family val="2"/>
      </rPr>
      <t>v</t>
    </r>
  </si>
  <si>
    <t>License Module Implemented.</t>
  </si>
  <si>
    <t>AISC 360-10 v2.0</t>
  </si>
  <si>
    <t>ASTM</t>
  </si>
  <si>
    <t>A36</t>
  </si>
  <si>
    <t>A53 Grade A</t>
  </si>
  <si>
    <t>A53 Grade B</t>
  </si>
  <si>
    <t>A500C Grade A</t>
  </si>
  <si>
    <t>A500C Grade B</t>
  </si>
  <si>
    <t>A500C Grade C</t>
  </si>
  <si>
    <t>A500C Grade D</t>
  </si>
  <si>
    <t>A500SR Grade A</t>
  </si>
  <si>
    <t>A500SR Grade B</t>
  </si>
  <si>
    <t>A500SR Grade C</t>
  </si>
  <si>
    <t>A500SR Grade D</t>
  </si>
  <si>
    <t>A501</t>
  </si>
  <si>
    <t>A572 Grade 42</t>
  </si>
  <si>
    <t>A572 Grade 50</t>
  </si>
  <si>
    <t>A572 Grade 60</t>
  </si>
  <si>
    <t>A572 Grade 65</t>
  </si>
  <si>
    <t>W100x100x19.3</t>
  </si>
  <si>
    <t>W130x130x23.8</t>
  </si>
  <si>
    <t>W130x130x28.1</t>
  </si>
  <si>
    <t>W150x100x13.5</t>
  </si>
  <si>
    <t>W150x100x18.0</t>
  </si>
  <si>
    <t>W150x100x24.0</t>
  </si>
  <si>
    <t>W150x150x22.5</t>
  </si>
  <si>
    <t>W150x150x29.8</t>
  </si>
  <si>
    <t>W150x150x37.1</t>
  </si>
  <si>
    <t>W200x100x15.0</t>
  </si>
  <si>
    <t>W200x100x19.3</t>
  </si>
  <si>
    <t>W200x100x22.5</t>
  </si>
  <si>
    <t>W200x135x21</t>
  </si>
  <si>
    <t>W200x135x26.6</t>
  </si>
  <si>
    <t>W200x135x31.3</t>
  </si>
  <si>
    <t>W200x165x35.9</t>
  </si>
  <si>
    <t>W200x165x41.7</t>
  </si>
  <si>
    <t>W200x200x46.1</t>
  </si>
  <si>
    <t>W200x200x52</t>
  </si>
  <si>
    <t>W200x200x59</t>
  </si>
  <si>
    <t>W200x200x71</t>
  </si>
  <si>
    <t>W200x200x86</t>
  </si>
  <si>
    <t>W200x200x100</t>
  </si>
  <si>
    <t>W250x100x17.9</t>
  </si>
  <si>
    <t>W250x100x22.3</t>
  </si>
  <si>
    <t>W250x100x25.3</t>
  </si>
  <si>
    <t>W250x100x28.4</t>
  </si>
  <si>
    <t>W250x145x24</t>
  </si>
  <si>
    <t>W250x145x32.7</t>
  </si>
  <si>
    <t>W250x145x38.5</t>
  </si>
  <si>
    <t>W250x145x44.8</t>
  </si>
  <si>
    <t>W250x250x73</t>
  </si>
  <si>
    <t>W250x250x80</t>
  </si>
  <si>
    <t>W250x250x89</t>
  </si>
  <si>
    <t>W250x250x101</t>
  </si>
  <si>
    <t>W250x250x115</t>
  </si>
  <si>
    <t>W250x250x131</t>
  </si>
  <si>
    <t>W250x250x149</t>
  </si>
  <si>
    <t>W250x250x167</t>
  </si>
  <si>
    <t>W310x100x21.0</t>
  </si>
  <si>
    <t>W310x100x23.8</t>
  </si>
  <si>
    <t>W310x100x28.3</t>
  </si>
  <si>
    <t>W310x100x32.7</t>
  </si>
  <si>
    <t>W310x165x31</t>
  </si>
  <si>
    <t>W310x165x38.7</t>
  </si>
  <si>
    <t>W310x165x44.5</t>
  </si>
  <si>
    <t>W310x165x52</t>
  </si>
  <si>
    <t>W310x310x97</t>
  </si>
  <si>
    <t>W310x310x107</t>
  </si>
  <si>
    <t>W310x310x117</t>
  </si>
  <si>
    <t>W310x310x129</t>
  </si>
  <si>
    <t>W310x310x143</t>
  </si>
  <si>
    <t>W310x310x158</t>
  </si>
  <si>
    <t>W310x310x179</t>
  </si>
  <si>
    <t>W310x310x202</t>
  </si>
  <si>
    <t>W310x310x226</t>
  </si>
  <si>
    <t>W310x310x253</t>
  </si>
  <si>
    <t>W310x310x283</t>
  </si>
  <si>
    <t>W310x310x313</t>
  </si>
  <si>
    <t>W310x310x342</t>
  </si>
  <si>
    <t>W360x130x32.9</t>
  </si>
  <si>
    <t>W360x130x39.0</t>
  </si>
  <si>
    <t>W360x170x44</t>
  </si>
  <si>
    <t>W360x170x51</t>
  </si>
  <si>
    <t>W360x170x57.8</t>
  </si>
  <si>
    <t>W360x370x134</t>
  </si>
  <si>
    <t>W360x370x147</t>
  </si>
  <si>
    <t>W360x370x162</t>
  </si>
  <si>
    <t>W360x370x179</t>
  </si>
  <si>
    <t>W360x370x196</t>
  </si>
  <si>
    <t>W360x410x216</t>
  </si>
  <si>
    <t>W360x410x237</t>
  </si>
  <si>
    <t>W360x410x262</t>
  </si>
  <si>
    <t>W360x410x287</t>
  </si>
  <si>
    <t>W360x410x314</t>
  </si>
  <si>
    <t>W360x410x347</t>
  </si>
  <si>
    <t>W360x410x382</t>
  </si>
  <si>
    <t>W360x410x421</t>
  </si>
  <si>
    <t>W360x410x463</t>
  </si>
  <si>
    <t>W360x410x509</t>
  </si>
  <si>
    <t>W360x410x551</t>
  </si>
  <si>
    <t>W360x410x592</t>
  </si>
  <si>
    <t>W360x410x634</t>
  </si>
  <si>
    <t>W360x410x677</t>
  </si>
  <si>
    <t>W360x410x744</t>
  </si>
  <si>
    <t>W360x410x818</t>
  </si>
  <si>
    <t>W360x410x900</t>
  </si>
  <si>
    <t>W360x410x990</t>
  </si>
  <si>
    <t>W360x410x1086</t>
  </si>
  <si>
    <t>W410x140x38.8</t>
  </si>
  <si>
    <t>W410x140x46.1</t>
  </si>
  <si>
    <t>W410x180x53</t>
  </si>
  <si>
    <t>W410x180x60</t>
  </si>
  <si>
    <t>W410x180x67</t>
  </si>
  <si>
    <t>W410x180x75</t>
  </si>
  <si>
    <t>W410x180x85</t>
  </si>
  <si>
    <t>W460x150x52</t>
  </si>
  <si>
    <t>W460x150x60</t>
  </si>
  <si>
    <t>W460x150x68</t>
  </si>
  <si>
    <t>W460x190x61</t>
  </si>
  <si>
    <t>W460x190x67</t>
  </si>
  <si>
    <t>W460x190x74</t>
  </si>
  <si>
    <t>W460x190x82</t>
  </si>
  <si>
    <t>W460x190x89</t>
  </si>
  <si>
    <t>W460x190x97</t>
  </si>
  <si>
    <t>W460x190x106</t>
  </si>
  <si>
    <t>W460x280x113</t>
  </si>
  <si>
    <t>W460x280x128</t>
  </si>
  <si>
    <t>W460x280x144</t>
  </si>
  <si>
    <t>W460x280x158</t>
  </si>
  <si>
    <t>W460x280x177</t>
  </si>
  <si>
    <t>W530x210x92</t>
  </si>
  <si>
    <t>W530x210x101</t>
  </si>
  <si>
    <t>W530x210x109</t>
  </si>
  <si>
    <t>W530x210x123</t>
  </si>
  <si>
    <t>W530x210x138</t>
  </si>
  <si>
    <t>W610x230x101</t>
  </si>
  <si>
    <t>W610x230x113</t>
  </si>
  <si>
    <t>W610x230x125</t>
  </si>
  <si>
    <t>W610x230x140</t>
  </si>
  <si>
    <t>W610x325x155</t>
  </si>
  <si>
    <t>W610x325x174</t>
  </si>
  <si>
    <t>W610x325x195</t>
  </si>
  <si>
    <t>W610x325x217</t>
  </si>
  <si>
    <t>W610x325x241</t>
  </si>
  <si>
    <t>W610x325x262</t>
  </si>
  <si>
    <t>W610x325x285</t>
  </si>
  <si>
    <t>W610x325x341</t>
  </si>
  <si>
    <t>W610x325x415</t>
  </si>
  <si>
    <t>W610x325x455</t>
  </si>
  <si>
    <t>W610x325x498</t>
  </si>
  <si>
    <t>W610x325x551</t>
  </si>
  <si>
    <t>W690x250x125</t>
  </si>
  <si>
    <t>W690x250x140</t>
  </si>
  <si>
    <t>W690x250x152</t>
  </si>
  <si>
    <t>W690x250x170</t>
  </si>
  <si>
    <t>W690x250x192</t>
  </si>
  <si>
    <t>W760x265x147</t>
  </si>
  <si>
    <t>W760x265x161</t>
  </si>
  <si>
    <t>W760x265x173</t>
  </si>
  <si>
    <t>W760x265x185</t>
  </si>
  <si>
    <t>W760x265x196</t>
  </si>
  <si>
    <t>W760x265x220</t>
  </si>
  <si>
    <t>W840x295x176</t>
  </si>
  <si>
    <t>W840x295x193</t>
  </si>
  <si>
    <t>W840x295x210</t>
  </si>
  <si>
    <t>W840x295x226</t>
  </si>
  <si>
    <t>W840x295x251</t>
  </si>
  <si>
    <t>W920x310x201</t>
  </si>
  <si>
    <t>W920x310x223</t>
  </si>
  <si>
    <t>W920x310x238</t>
  </si>
  <si>
    <t>W920x310x253</t>
  </si>
  <si>
    <t>W920x310x271</t>
  </si>
  <si>
    <t>W920x310x289</t>
  </si>
  <si>
    <t>W920x310x313</t>
  </si>
  <si>
    <t>W920x420x342</t>
  </si>
  <si>
    <t>W920x420x365</t>
  </si>
  <si>
    <t>W920x420x387</t>
  </si>
  <si>
    <t>W920x420x417</t>
  </si>
  <si>
    <t>W920x420x446</t>
  </si>
  <si>
    <t>W920x420x488</t>
  </si>
  <si>
    <t>W920x420x534</t>
  </si>
  <si>
    <t>W920x420x585</t>
  </si>
  <si>
    <t>W920x420x653</t>
  </si>
  <si>
    <t>W920x420x784</t>
  </si>
  <si>
    <t>W920x420x967</t>
  </si>
  <si>
    <t>W1000x300x222</t>
  </si>
  <si>
    <t>W1000x300x249</t>
  </si>
  <si>
    <t>W1000x300x272</t>
  </si>
  <si>
    <t>W1000x300x314</t>
  </si>
  <si>
    <t>W1000x300x350</t>
  </si>
  <si>
    <t>W1000x300x393</t>
  </si>
  <si>
    <t>W1000x300x415</t>
  </si>
  <si>
    <t>W1000x300x494</t>
  </si>
  <si>
    <t>W1000x300x584</t>
  </si>
  <si>
    <t>W1000x400x296</t>
  </si>
  <si>
    <t>W1000x400x321</t>
  </si>
  <si>
    <t>W1000x400x371</t>
  </si>
  <si>
    <t>W1000x400x412</t>
  </si>
  <si>
    <t>W1000x400x443</t>
  </si>
  <si>
    <t>W1000x400x483</t>
  </si>
  <si>
    <t>W1000x400x539</t>
  </si>
  <si>
    <t>W1000x400x591</t>
  </si>
  <si>
    <t>W1000x400x642</t>
  </si>
  <si>
    <t>W1000x400x748</t>
  </si>
  <si>
    <t>W1000x400x883</t>
  </si>
  <si>
    <t>W1100x400x343</t>
  </si>
  <si>
    <t>W1100x400x390</t>
  </si>
  <si>
    <t>W1100x400x433</t>
  </si>
  <si>
    <t>W1100x400x499</t>
  </si>
  <si>
    <t>European</t>
  </si>
  <si>
    <t>IPE Sections</t>
  </si>
  <si>
    <t>IPEO300x49.3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</si>
</sst>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 * #,##0.00_ ;_ * \-#,##0.00_ ;_ * &quot;-&quot;??_ ;_ @_ "/>
    <numFmt numFmtId="164" formatCode="dd\-mmm\-yyyy"/>
    <numFmt numFmtId="165" formatCode="0.000&quot; kN-m&quot;"/>
    <numFmt numFmtId="166" formatCode="0.000"/>
    <numFmt numFmtId="167" formatCode="0.00&quot;MT&quot;"/>
    <numFmt numFmtId="168" formatCode="0.0"/>
    <numFmt numFmtId="169" formatCode="0.00000&quot;deg&quot;"/>
    <numFmt numFmtId="170" formatCode="&quot;$&quot;#,##0\ ;\(&quot;$&quot;#,##0\)"/>
    <numFmt numFmtId="171" formatCode="0.0&quot; kN&quot;"/>
    <numFmt numFmtId="172" formatCode="0.0&quot; mm&quot;"/>
    <numFmt numFmtId="173" formatCode="0.00&quot; kN&quot;"/>
    <numFmt numFmtId="174" formatCode="0.0&quot; kNm&quot;"/>
    <numFmt numFmtId="175" formatCode="0.00&quot; kNm&quot;"/>
    <numFmt numFmtId="176" formatCode="dd/mmm/yyyy"/>
    <numFmt numFmtId="177" formatCode="0.0%"/>
    <numFmt numFmtId="178" formatCode="0.0&quot; MPa&quot;"/>
    <numFmt numFmtId="179" formatCode="0.00&quot; mm&quot;"/>
    <numFmt numFmtId="180" formatCode="0.0&quot;kNm&quot;"/>
    <numFmt numFmtId="181" formatCode="0.00&quot; m&quot;"/>
    <numFmt numFmtId="182" formatCode="0.000&quot; m&quot;"/>
  </numFmts>
  <fonts count="50" x14ac:knownFonts="1">
    <font>
      <sz val="10"/>
      <color theme="1"/>
      <name val="Cambri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sz val="10"/>
      <name val="Arial"/>
      <family val="2"/>
    </font>
    <font>
      <sz val="10"/>
      <color indexed="24"/>
      <name val="Arial"/>
      <family val="2"/>
    </font>
    <font>
      <sz val="8"/>
      <color theme="1"/>
      <name val="Tahoma"/>
      <family val="2"/>
    </font>
    <font>
      <sz val="8"/>
      <color theme="3"/>
      <name val="Tahoma"/>
      <family val="2"/>
    </font>
    <font>
      <b/>
      <u/>
      <sz val="8"/>
      <color theme="1"/>
      <name val="Tahoma"/>
      <family val="2"/>
    </font>
    <font>
      <u/>
      <sz val="8"/>
      <color theme="1"/>
      <name val="Tahoma"/>
      <family val="2"/>
    </font>
    <font>
      <sz val="12"/>
      <color theme="1"/>
      <name val="Tahoma"/>
      <family val="2"/>
    </font>
    <font>
      <sz val="12"/>
      <color theme="1"/>
      <name val="Cambria"/>
      <family val="2"/>
    </font>
    <font>
      <u/>
      <sz val="10"/>
      <color theme="1"/>
      <name val="Cambria"/>
      <family val="2"/>
    </font>
    <font>
      <vertAlign val="subscript"/>
      <sz val="8"/>
      <color theme="1"/>
      <name val="Tahoma"/>
      <family val="2"/>
    </font>
    <font>
      <vertAlign val="superscript"/>
      <sz val="8"/>
      <color theme="1"/>
      <name val="Tahoma"/>
      <family val="2"/>
    </font>
    <font>
      <sz val="8"/>
      <name val="Tahoma"/>
      <family val="2"/>
    </font>
    <font>
      <sz val="10"/>
      <name val="Cambria"/>
      <family val="2"/>
    </font>
    <font>
      <b/>
      <sz val="8"/>
      <color theme="1"/>
      <name val="Tahoma"/>
      <family val="2"/>
    </font>
    <font>
      <sz val="10"/>
      <color theme="3"/>
      <name val="Cambria"/>
      <family val="2"/>
    </font>
    <font>
      <sz val="8"/>
      <color theme="8" tint="-0.249977111117893"/>
      <name val="Tahoma"/>
      <family val="2"/>
    </font>
    <font>
      <sz val="10"/>
      <color theme="8" tint="-0.249977111117893"/>
      <name val="Cambria"/>
      <family val="2"/>
    </font>
    <font>
      <sz val="10"/>
      <color theme="1"/>
      <name val="Cambria"/>
      <family val="2"/>
    </font>
    <font>
      <u/>
      <sz val="8"/>
      <color theme="4" tint="-0.499984740745262"/>
      <name val="Tahoma"/>
      <family val="2"/>
    </font>
    <font>
      <sz val="8"/>
      <color theme="4" tint="-0.499984740745262"/>
      <name val="Tahoma"/>
      <family val="2"/>
    </font>
    <font>
      <sz val="8"/>
      <color theme="1"/>
      <name val="Symbol"/>
      <family val="1"/>
      <charset val="2"/>
    </font>
    <font>
      <sz val="12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2">
    <xf numFmtId="0" fontId="0" fillId="0" borderId="0"/>
    <xf numFmtId="3" fontId="29" fillId="0" borderId="0" applyFont="0" applyFill="0" applyBorder="0" applyAlignment="0" applyProtection="0"/>
    <xf numFmtId="17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28" fillId="0" borderId="0"/>
    <xf numFmtId="0" fontId="19" fillId="0" borderId="0"/>
    <xf numFmtId="0" fontId="28" fillId="0" borderId="0"/>
    <xf numFmtId="0" fontId="18" fillId="0" borderId="0"/>
    <xf numFmtId="43" fontId="18" fillId="0" borderId="0" applyFont="0" applyFill="0" applyBorder="0" applyAlignment="0" applyProtection="0"/>
    <xf numFmtId="0" fontId="45" fillId="0" borderId="0"/>
    <xf numFmtId="0" fontId="17" fillId="0" borderId="0"/>
  </cellStyleXfs>
  <cellXfs count="539">
    <xf numFmtId="0" fontId="0" fillId="0" borderId="0" xfId="0"/>
    <xf numFmtId="0" fontId="30" fillId="0" borderId="0" xfId="0" applyFont="1" applyFill="1" applyBorder="1" applyAlignment="1" applyProtection="1">
      <alignment horizontal="center" vertical="center"/>
      <protection hidden="1"/>
    </xf>
    <xf numFmtId="0" fontId="30" fillId="0" borderId="2" xfId="0" applyFont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vertical="center"/>
      <protection hidden="1"/>
    </xf>
    <xf numFmtId="0" fontId="30" fillId="0" borderId="0" xfId="0" applyFont="1" applyBorder="1" applyAlignment="1" applyProtection="1">
      <alignment vertical="center"/>
      <protection hidden="1"/>
    </xf>
    <xf numFmtId="0" fontId="30" fillId="0" borderId="3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 applyProtection="1">
      <alignment vertical="center"/>
      <protection hidden="1"/>
    </xf>
    <xf numFmtId="0" fontId="30" fillId="0" borderId="4" xfId="0" applyFont="1" applyBorder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>
      <alignment horizontal="center" vertical="center"/>
    </xf>
    <xf numFmtId="2" fontId="30" fillId="0" borderId="4" xfId="0" applyNumberFormat="1" applyFont="1" applyBorder="1" applyAlignment="1" applyProtection="1">
      <alignment horizontal="center" vertical="center"/>
      <protection hidden="1"/>
    </xf>
    <xf numFmtId="1" fontId="30" fillId="0" borderId="0" xfId="0" applyNumberFormat="1" applyFont="1" applyFill="1" applyBorder="1" applyAlignment="1" applyProtection="1">
      <alignment horizontal="center" vertical="center"/>
      <protection hidden="1"/>
    </xf>
    <xf numFmtId="165" fontId="30" fillId="0" borderId="0" xfId="0" applyNumberFormat="1" applyFont="1" applyFill="1" applyBorder="1" applyAlignment="1" applyProtection="1">
      <alignment horizontal="left" vertical="center"/>
      <protection hidden="1"/>
    </xf>
    <xf numFmtId="166" fontId="30" fillId="0" borderId="0" xfId="0" applyNumberFormat="1" applyFont="1" applyAlignment="1" applyProtection="1">
      <alignment horizontal="center" vertical="center"/>
      <protection hidden="1"/>
    </xf>
    <xf numFmtId="1" fontId="30" fillId="0" borderId="0" xfId="0" applyNumberFormat="1" applyFont="1" applyFill="1" applyBorder="1" applyAlignment="1" applyProtection="1">
      <alignment horizontal="left" vertical="center"/>
      <protection hidden="1"/>
    </xf>
    <xf numFmtId="0" fontId="32" fillId="0" borderId="0" xfId="0" applyFont="1" applyFill="1" applyBorder="1" applyAlignment="1" applyProtection="1">
      <alignment vertical="center"/>
      <protection hidden="1"/>
    </xf>
    <xf numFmtId="0" fontId="33" fillId="0" borderId="0" xfId="0" applyFont="1" applyFill="1" applyBorder="1" applyAlignment="1" applyProtection="1">
      <alignment vertical="center"/>
      <protection hidden="1"/>
    </xf>
    <xf numFmtId="0" fontId="33" fillId="0" borderId="0" xfId="0" applyNumberFormat="1" applyFont="1" applyFill="1" applyBorder="1" applyAlignment="1" applyProtection="1">
      <alignment vertical="center"/>
      <protection hidden="1"/>
    </xf>
    <xf numFmtId="0" fontId="30" fillId="0" borderId="10" xfId="0" applyFont="1" applyBorder="1" applyAlignment="1" applyProtection="1">
      <alignment vertical="center"/>
      <protection hidden="1"/>
    </xf>
    <xf numFmtId="0" fontId="30" fillId="0" borderId="11" xfId="0" applyFont="1" applyBorder="1" applyAlignment="1" applyProtection="1">
      <alignment vertical="center"/>
      <protection hidden="1"/>
    </xf>
    <xf numFmtId="0" fontId="30" fillId="0" borderId="12" xfId="0" applyFont="1" applyBorder="1" applyAlignment="1" applyProtection="1">
      <alignment vertical="center"/>
      <protection hidden="1"/>
    </xf>
    <xf numFmtId="0" fontId="30" fillId="0" borderId="3" xfId="0" applyNumberFormat="1" applyFont="1" applyFill="1" applyBorder="1" applyAlignment="1" applyProtection="1">
      <alignment vertical="center"/>
      <protection hidden="1"/>
    </xf>
    <xf numFmtId="0" fontId="30" fillId="0" borderId="4" xfId="0" applyNumberFormat="1" applyFont="1" applyFill="1" applyBorder="1" applyAlignment="1" applyProtection="1">
      <alignment vertical="center"/>
      <protection hidden="1"/>
    </xf>
    <xf numFmtId="0" fontId="30" fillId="0" borderId="1" xfId="0" applyFont="1" applyBorder="1" applyAlignment="1" applyProtection="1">
      <alignment vertical="center"/>
      <protection hidden="1"/>
    </xf>
    <xf numFmtId="0" fontId="30" fillId="0" borderId="0" xfId="0" applyFont="1" applyBorder="1" applyAlignment="1" applyProtection="1">
      <alignment horizontal="center" vertical="center"/>
      <protection hidden="1"/>
    </xf>
    <xf numFmtId="164" fontId="30" fillId="0" borderId="0" xfId="0" applyNumberFormat="1" applyFont="1" applyBorder="1" applyAlignment="1" applyProtection="1">
      <alignment horizontal="center" vertical="center"/>
      <protection hidden="1"/>
    </xf>
    <xf numFmtId="2" fontId="30" fillId="0" borderId="0" xfId="0" applyNumberFormat="1" applyFont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vertical="center"/>
      <protection hidden="1"/>
    </xf>
    <xf numFmtId="164" fontId="27" fillId="0" borderId="16" xfId="0" applyNumberFormat="1" applyFont="1" applyBorder="1" applyAlignment="1" applyProtection="1">
      <alignment horizontal="left" vertical="center" indent="1"/>
      <protection hidden="1"/>
    </xf>
    <xf numFmtId="164" fontId="30" fillId="0" borderId="17" xfId="0" applyNumberFormat="1" applyFont="1" applyBorder="1" applyAlignment="1" applyProtection="1">
      <alignment horizontal="center" vertical="center"/>
      <protection hidden="1"/>
    </xf>
    <xf numFmtId="0" fontId="30" fillId="0" borderId="17" xfId="0" applyFont="1" applyBorder="1" applyAlignment="1" applyProtection="1">
      <alignment vertical="center"/>
      <protection hidden="1"/>
    </xf>
    <xf numFmtId="0" fontId="30" fillId="0" borderId="18" xfId="0" applyFont="1" applyBorder="1" applyAlignment="1" applyProtection="1">
      <alignment vertical="center"/>
      <protection hidden="1"/>
    </xf>
    <xf numFmtId="0" fontId="26" fillId="0" borderId="0" xfId="0" applyFont="1" applyBorder="1" applyAlignment="1" applyProtection="1">
      <alignment vertical="center"/>
      <protection hidden="1"/>
    </xf>
    <xf numFmtId="1" fontId="26" fillId="0" borderId="0" xfId="0" applyNumberFormat="1" applyFont="1" applyFill="1" applyBorder="1" applyAlignment="1" applyProtection="1">
      <alignment horizontal="center" vertical="center"/>
      <protection hidden="1"/>
    </xf>
    <xf numFmtId="0" fontId="26" fillId="0" borderId="0" xfId="0" applyFont="1" applyBorder="1" applyAlignment="1" applyProtection="1">
      <alignment horizontal="center" vertical="center"/>
      <protection hidden="1"/>
    </xf>
    <xf numFmtId="0" fontId="32" fillId="0" borderId="0" xfId="0" applyNumberFormat="1" applyFont="1" applyFill="1" applyBorder="1" applyAlignment="1" applyProtection="1">
      <alignment vertical="center"/>
      <protection hidden="1"/>
    </xf>
    <xf numFmtId="0" fontId="25" fillId="0" borderId="0" xfId="0" applyNumberFormat="1" applyFont="1" applyFill="1" applyBorder="1" applyAlignment="1" applyProtection="1">
      <alignment vertical="center"/>
      <protection hidden="1"/>
    </xf>
    <xf numFmtId="0" fontId="30" fillId="0" borderId="0" xfId="0" applyNumberFormat="1" applyFont="1" applyFill="1" applyBorder="1" applyAlignment="1" applyProtection="1">
      <alignment vertical="center"/>
      <protection hidden="1"/>
    </xf>
    <xf numFmtId="168" fontId="30" fillId="0" borderId="0" xfId="0" applyNumberFormat="1" applyFont="1" applyFill="1" applyBorder="1" applyAlignment="1" applyProtection="1">
      <alignment horizontal="left" vertical="center" indent="1"/>
      <protection hidden="1"/>
    </xf>
    <xf numFmtId="168" fontId="0" fillId="0" borderId="0" xfId="0" applyNumberFormat="1" applyBorder="1" applyAlignment="1" applyProtection="1">
      <alignment horizontal="left" vertical="center" indent="1"/>
      <protection hidden="1"/>
    </xf>
    <xf numFmtId="0" fontId="2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NumberFormat="1" applyFill="1" applyBorder="1" applyAlignment="1" applyProtection="1">
      <alignment vertical="center"/>
      <protection hidden="1"/>
    </xf>
    <xf numFmtId="0" fontId="24" fillId="0" borderId="0" xfId="0" applyNumberFormat="1" applyFont="1" applyFill="1" applyBorder="1" applyAlignment="1" applyProtection="1">
      <alignment vertical="center"/>
      <protection hidden="1"/>
    </xf>
    <xf numFmtId="0" fontId="0" fillId="0" borderId="4" xfId="0" applyNumberFormat="1" applyFill="1" applyBorder="1" applyAlignment="1" applyProtection="1">
      <alignment vertical="center"/>
      <protection hidden="1"/>
    </xf>
    <xf numFmtId="0" fontId="30" fillId="0" borderId="0" xfId="0" applyNumberFormat="1" applyFont="1" applyBorder="1" applyAlignment="1" applyProtection="1">
      <alignment vertical="center"/>
      <protection hidden="1"/>
    </xf>
    <xf numFmtId="0" fontId="24" fillId="0" borderId="0" xfId="0" applyNumberFormat="1" applyFont="1" applyFill="1" applyBorder="1" applyAlignment="1" applyProtection="1">
      <alignment horizontal="center" vertical="center"/>
      <protection hidden="1"/>
    </xf>
    <xf numFmtId="172" fontId="25" fillId="0" borderId="0" xfId="0" applyNumberFormat="1" applyFont="1" applyFill="1" applyBorder="1" applyAlignment="1" applyProtection="1">
      <alignment horizontal="left" vertical="center" indent="1"/>
      <protection locked="0" hidden="1"/>
    </xf>
    <xf numFmtId="172" fontId="0" fillId="0" borderId="0" xfId="0" applyNumberFormat="1" applyFill="1" applyBorder="1" applyAlignment="1" applyProtection="1">
      <alignment horizontal="left" vertical="center" indent="1"/>
      <protection locked="0" hidden="1"/>
    </xf>
    <xf numFmtId="11" fontId="0" fillId="0" borderId="0" xfId="0" applyNumberFormat="1" applyBorder="1" applyAlignment="1">
      <alignment horizontal="center" vertical="center"/>
    </xf>
    <xf numFmtId="0" fontId="30" fillId="0" borderId="26" xfId="0" applyNumberFormat="1" applyFont="1" applyFill="1" applyBorder="1" applyAlignment="1" applyProtection="1">
      <alignment vertical="center"/>
      <protection hidden="1"/>
    </xf>
    <xf numFmtId="0" fontId="30" fillId="0" borderId="30" xfId="0" applyFont="1" applyFill="1" applyBorder="1" applyAlignment="1" applyProtection="1">
      <alignment vertical="center"/>
      <protection hidden="1"/>
    </xf>
    <xf numFmtId="0" fontId="30" fillId="0" borderId="3" xfId="0" applyFont="1" applyFill="1" applyBorder="1" applyAlignment="1" applyProtection="1">
      <alignment vertical="center"/>
      <protection hidden="1"/>
    </xf>
    <xf numFmtId="0" fontId="33" fillId="0" borderId="3" xfId="0" applyFont="1" applyBorder="1" applyAlignment="1" applyProtection="1">
      <alignment vertical="center"/>
      <protection hidden="1"/>
    </xf>
    <xf numFmtId="0" fontId="26" fillId="0" borderId="3" xfId="0" applyFont="1" applyFill="1" applyBorder="1" applyAlignment="1" applyProtection="1">
      <alignment vertical="center"/>
      <protection hidden="1"/>
    </xf>
    <xf numFmtId="0" fontId="0" fillId="0" borderId="30" xfId="0" applyNumberFormat="1" applyFill="1" applyBorder="1" applyAlignment="1" applyProtection="1">
      <alignment vertical="center"/>
      <protection hidden="1"/>
    </xf>
    <xf numFmtId="0" fontId="30" fillId="0" borderId="30" xfId="0" applyNumberFormat="1" applyFont="1" applyFill="1" applyBorder="1" applyAlignment="1" applyProtection="1">
      <alignment vertical="center"/>
      <protection hidden="1"/>
    </xf>
    <xf numFmtId="0" fontId="32" fillId="0" borderId="3" xfId="0" applyNumberFormat="1" applyFont="1" applyFill="1" applyBorder="1" applyAlignment="1" applyProtection="1">
      <alignment vertical="center"/>
      <protection hidden="1"/>
    </xf>
    <xf numFmtId="0" fontId="33" fillId="0" borderId="3" xfId="0" applyNumberFormat="1" applyFont="1" applyFill="1" applyBorder="1" applyAlignment="1" applyProtection="1">
      <alignment vertical="center"/>
      <protection hidden="1"/>
    </xf>
    <xf numFmtId="0" fontId="33" fillId="0" borderId="31" xfId="0" applyNumberFormat="1" applyFont="1" applyFill="1" applyBorder="1" applyAlignment="1" applyProtection="1">
      <alignment vertical="center"/>
      <protection hidden="1"/>
    </xf>
    <xf numFmtId="0" fontId="30" fillId="0" borderId="32" xfId="0" applyNumberFormat="1" applyFont="1" applyFill="1" applyBorder="1" applyAlignment="1" applyProtection="1">
      <alignment vertical="center"/>
      <protection hidden="1"/>
    </xf>
    <xf numFmtId="0" fontId="30" fillId="0" borderId="33" xfId="0" applyNumberFormat="1" applyFont="1" applyFill="1" applyBorder="1" applyAlignment="1" applyProtection="1">
      <alignment vertical="center"/>
      <protection hidden="1"/>
    </xf>
    <xf numFmtId="0" fontId="0" fillId="0" borderId="26" xfId="0" applyNumberFormat="1" applyFill="1" applyBorder="1" applyAlignment="1" applyProtection="1">
      <alignment vertical="center"/>
      <protection hidden="1"/>
    </xf>
    <xf numFmtId="0" fontId="30" fillId="0" borderId="28" xfId="0" applyFont="1" applyBorder="1" applyAlignment="1" applyProtection="1">
      <alignment vertical="center"/>
      <protection hidden="1"/>
    </xf>
    <xf numFmtId="0" fontId="30" fillId="0" borderId="27" xfId="0" applyFont="1" applyBorder="1" applyAlignment="1" applyProtection="1">
      <alignment vertical="center"/>
      <protection hidden="1"/>
    </xf>
    <xf numFmtId="0" fontId="22" fillId="0" borderId="0" xfId="0" applyNumberFormat="1" applyFont="1" applyFill="1" applyBorder="1" applyAlignment="1" applyProtection="1">
      <alignment vertical="center"/>
      <protection hidden="1"/>
    </xf>
    <xf numFmtId="0" fontId="22" fillId="0" borderId="0" xfId="0" applyNumberFormat="1" applyFont="1" applyFill="1" applyBorder="1" applyAlignment="1" applyProtection="1">
      <protection hidden="1"/>
    </xf>
    <xf numFmtId="0" fontId="22" fillId="0" borderId="0" xfId="0" applyFont="1" applyBorder="1" applyAlignment="1" applyProtection="1">
      <alignment vertical="center"/>
      <protection hidden="1"/>
    </xf>
    <xf numFmtId="0" fontId="22" fillId="0" borderId="0" xfId="0" applyFont="1" applyBorder="1" applyAlignment="1" applyProtection="1">
      <alignment horizontal="center" vertical="center"/>
      <protection hidden="1"/>
    </xf>
    <xf numFmtId="0" fontId="22" fillId="0" borderId="0" xfId="0" applyFont="1" applyFill="1" applyBorder="1" applyAlignment="1" applyProtection="1">
      <alignment vertical="center"/>
      <protection hidden="1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167" fontId="22" fillId="0" borderId="0" xfId="0" applyNumberFormat="1" applyFont="1" applyFill="1" applyBorder="1" applyAlignment="1" applyProtection="1">
      <alignment horizontal="left" vertical="center"/>
      <protection hidden="1"/>
    </xf>
    <xf numFmtId="0" fontId="21" fillId="0" borderId="3" xfId="0" applyNumberFormat="1" applyFont="1" applyFill="1" applyBorder="1" applyAlignment="1" applyProtection="1">
      <alignment vertical="center"/>
      <protection hidden="1"/>
    </xf>
    <xf numFmtId="0" fontId="21" fillId="0" borderId="4" xfId="0" applyNumberFormat="1" applyFont="1" applyFill="1" applyBorder="1" applyAlignment="1" applyProtection="1">
      <alignment vertical="center"/>
      <protection hidden="1"/>
    </xf>
    <xf numFmtId="0" fontId="21" fillId="0" borderId="0" xfId="0" applyFont="1" applyBorder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22" fillId="0" borderId="26" xfId="0" applyFont="1" applyBorder="1" applyAlignment="1" applyProtection="1">
      <alignment horizontal="center" vertical="center"/>
      <protection hidden="1"/>
    </xf>
    <xf numFmtId="0" fontId="30" fillId="0" borderId="0" xfId="0" applyNumberFormat="1" applyFont="1" applyFill="1" applyBorder="1" applyAlignment="1" applyProtection="1">
      <alignment vertical="center"/>
      <protection hidden="1"/>
    </xf>
    <xf numFmtId="0" fontId="19" fillId="0" borderId="0" xfId="0" applyNumberFormat="1" applyFont="1" applyFill="1" applyBorder="1" applyAlignment="1" applyProtection="1">
      <alignment vertical="center"/>
      <protection hidden="1"/>
    </xf>
    <xf numFmtId="0" fontId="41" fillId="0" borderId="34" xfId="0" applyNumberFormat="1" applyFont="1" applyFill="1" applyBorder="1" applyAlignment="1" applyProtection="1">
      <alignment vertical="center"/>
      <protection hidden="1"/>
    </xf>
    <xf numFmtId="0" fontId="30" fillId="0" borderId="37" xfId="0" applyFont="1" applyBorder="1" applyAlignment="1" applyProtection="1">
      <alignment vertical="center"/>
      <protection hidden="1"/>
    </xf>
    <xf numFmtId="0" fontId="0" fillId="0" borderId="36" xfId="0" applyNumberFormat="1" applyBorder="1" applyAlignment="1" applyProtection="1">
      <alignment vertical="center"/>
      <protection hidden="1"/>
    </xf>
    <xf numFmtId="0" fontId="18" fillId="0" borderId="39" xfId="0" applyFont="1" applyBorder="1" applyAlignment="1" applyProtection="1">
      <alignment vertical="center"/>
      <protection hidden="1"/>
    </xf>
    <xf numFmtId="0" fontId="18" fillId="0" borderId="41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vertical="center"/>
      <protection hidden="1"/>
    </xf>
    <xf numFmtId="164" fontId="18" fillId="0" borderId="42" xfId="0" applyNumberFormat="1" applyFont="1" applyBorder="1" applyAlignment="1" applyProtection="1">
      <alignment horizontal="left" vertical="center" indent="1"/>
      <protection hidden="1"/>
    </xf>
    <xf numFmtId="164" fontId="18" fillId="0" borderId="43" xfId="0" applyNumberFormat="1" applyFont="1" applyBorder="1" applyAlignment="1" applyProtection="1">
      <alignment horizontal="center" vertical="center"/>
      <protection hidden="1"/>
    </xf>
    <xf numFmtId="0" fontId="18" fillId="0" borderId="43" xfId="0" applyFont="1" applyBorder="1" applyAlignment="1" applyProtection="1">
      <alignment vertical="center"/>
      <protection hidden="1"/>
    </xf>
    <xf numFmtId="0" fontId="18" fillId="0" borderId="44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8" fillId="0" borderId="45" xfId="0" applyNumberFormat="1" applyFont="1" applyFill="1" applyBorder="1" applyAlignment="1" applyProtection="1">
      <alignment vertical="center"/>
      <protection hidden="1"/>
    </xf>
    <xf numFmtId="0" fontId="18" fillId="0" borderId="11" xfId="0" applyNumberFormat="1" applyFont="1" applyFill="1" applyBorder="1" applyAlignment="1" applyProtection="1">
      <alignment vertical="center"/>
      <protection hidden="1"/>
    </xf>
    <xf numFmtId="0" fontId="18" fillId="0" borderId="12" xfId="0" applyNumberFormat="1" applyFont="1" applyFill="1" applyBorder="1" applyAlignment="1" applyProtection="1">
      <alignment vertical="center"/>
      <protection hidden="1"/>
    </xf>
    <xf numFmtId="0" fontId="18" fillId="0" borderId="3" xfId="0" applyNumberFormat="1" applyFont="1" applyFill="1" applyBorder="1" applyAlignment="1" applyProtection="1">
      <alignment vertical="center"/>
      <protection hidden="1"/>
    </xf>
    <xf numFmtId="0" fontId="18" fillId="0" borderId="0" xfId="0" applyNumberFormat="1" applyFont="1" applyFill="1" applyBorder="1" applyAlignment="1" applyProtection="1">
      <alignment vertical="center"/>
      <protection hidden="1"/>
    </xf>
    <xf numFmtId="0" fontId="18" fillId="0" borderId="4" xfId="0" applyNumberFormat="1" applyFont="1" applyFill="1" applyBorder="1" applyAlignment="1" applyProtection="1">
      <alignment vertical="center"/>
      <protection hidden="1"/>
    </xf>
    <xf numFmtId="0" fontId="18" fillId="0" borderId="0" xfId="0" quotePrefix="1" applyNumberFormat="1" applyFont="1" applyFill="1" applyBorder="1" applyAlignment="1" applyProtection="1">
      <alignment vertical="center"/>
      <protection hidden="1"/>
    </xf>
    <xf numFmtId="0" fontId="34" fillId="0" borderId="3" xfId="0" applyNumberFormat="1" applyFont="1" applyFill="1" applyBorder="1" applyAlignment="1" applyProtection="1">
      <alignment vertical="center"/>
      <protection hidden="1"/>
    </xf>
    <xf numFmtId="0" fontId="35" fillId="0" borderId="0" xfId="0" applyNumberFormat="1" applyFont="1" applyFill="1" applyBorder="1" applyAlignment="1" applyProtection="1">
      <alignment vertical="center"/>
      <protection hidden="1"/>
    </xf>
    <xf numFmtId="0" fontId="35" fillId="0" borderId="4" xfId="0" applyNumberFormat="1" applyFont="1" applyFill="1" applyBorder="1" applyAlignment="1" applyProtection="1">
      <alignment vertical="center"/>
      <protection hidden="1"/>
    </xf>
    <xf numFmtId="0" fontId="35" fillId="0" borderId="3" xfId="0" applyNumberFormat="1" applyFont="1" applyFill="1" applyBorder="1" applyAlignment="1" applyProtection="1">
      <alignment vertical="center"/>
      <protection hidden="1"/>
    </xf>
    <xf numFmtId="0" fontId="18" fillId="0" borderId="28" xfId="0" applyNumberFormat="1" applyFont="1" applyFill="1" applyBorder="1" applyAlignment="1" applyProtection="1">
      <alignment vertical="center"/>
      <protection hidden="1"/>
    </xf>
    <xf numFmtId="0" fontId="18" fillId="0" borderId="26" xfId="0" applyNumberFormat="1" applyFont="1" applyFill="1" applyBorder="1" applyAlignment="1" applyProtection="1">
      <alignment vertical="center"/>
      <protection hidden="1"/>
    </xf>
    <xf numFmtId="0" fontId="18" fillId="0" borderId="27" xfId="0" applyNumberFormat="1" applyFont="1" applyFill="1" applyBorder="1" applyAlignment="1" applyProtection="1">
      <alignment vertical="center"/>
      <protection hidden="1"/>
    </xf>
    <xf numFmtId="0" fontId="31" fillId="0" borderId="0" xfId="0" applyNumberFormat="1" applyFont="1" applyFill="1" applyBorder="1" applyAlignment="1" applyProtection="1">
      <alignment vertical="center"/>
      <protection locked="0" hidden="1"/>
    </xf>
    <xf numFmtId="0" fontId="42" fillId="0" borderId="0" xfId="0" applyNumberFormat="1" applyFont="1" applyFill="1" applyBorder="1" applyAlignment="1" applyProtection="1">
      <alignment vertical="center"/>
      <protection locked="0"/>
    </xf>
    <xf numFmtId="0" fontId="43" fillId="0" borderId="0" xfId="0" applyNumberFormat="1" applyFont="1" applyFill="1" applyBorder="1" applyAlignment="1" applyProtection="1">
      <alignment vertical="center"/>
      <protection locked="0" hidden="1"/>
    </xf>
    <xf numFmtId="0" fontId="44" fillId="0" borderId="0" xfId="0" applyNumberFormat="1" applyFont="1" applyFill="1" applyBorder="1" applyAlignment="1" applyProtection="1">
      <alignment vertical="center"/>
      <protection locked="0"/>
    </xf>
    <xf numFmtId="0" fontId="26" fillId="0" borderId="0" xfId="0" applyNumberFormat="1" applyFont="1" applyFill="1" applyBorder="1" applyAlignment="1" applyProtection="1">
      <alignment vertical="center"/>
      <protection locked="0" hidden="1"/>
    </xf>
    <xf numFmtId="0" fontId="0" fillId="0" borderId="0" xfId="0" applyNumberFormat="1" applyFill="1" applyBorder="1" applyAlignment="1" applyProtection="1">
      <alignment vertical="center"/>
      <protection locked="0"/>
    </xf>
    <xf numFmtId="0" fontId="15" fillId="0" borderId="0" xfId="0" applyFont="1"/>
    <xf numFmtId="0" fontId="0" fillId="0" borderId="0" xfId="0" applyBorder="1" applyAlignment="1">
      <alignment horizontal="center" vertical="center"/>
    </xf>
    <xf numFmtId="0" fontId="13" fillId="0" borderId="0" xfId="0" applyFont="1"/>
    <xf numFmtId="2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39" fillId="0" borderId="0" xfId="0" applyFont="1" applyFill="1" applyBorder="1" applyAlignment="1" applyProtection="1">
      <alignment vertical="center"/>
      <protection hidden="1"/>
    </xf>
    <xf numFmtId="0" fontId="40" fillId="0" borderId="0" xfId="0" applyFont="1" applyFill="1" applyBorder="1" applyAlignment="1" applyProtection="1">
      <alignment vertical="center"/>
      <protection hidden="1"/>
    </xf>
    <xf numFmtId="0" fontId="22" fillId="0" borderId="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21" fillId="0" borderId="0" xfId="0" applyFont="1" applyFill="1" applyBorder="1" applyAlignment="1" applyProtection="1">
      <alignment vertical="center"/>
      <protection hidden="1"/>
    </xf>
    <xf numFmtId="0" fontId="19" fillId="0" borderId="0" xfId="0" applyFont="1" applyFill="1" applyBorder="1" applyAlignment="1" applyProtection="1">
      <alignment vertical="center"/>
      <protection hidden="1"/>
    </xf>
    <xf numFmtId="172" fontId="21" fillId="0" borderId="0" xfId="0" applyNumberFormat="1" applyFont="1" applyFill="1" applyBorder="1" applyAlignment="1" applyProtection="1">
      <alignment vertical="center"/>
      <protection hidden="1"/>
    </xf>
    <xf numFmtId="172" fontId="0" fillId="0" borderId="0" xfId="0" applyNumberFormat="1" applyFill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0" xfId="0" applyFont="1" applyBorder="1" applyAlignment="1" applyProtection="1">
      <alignment vertical="center"/>
      <protection hidden="1"/>
    </xf>
    <xf numFmtId="0" fontId="12" fillId="0" borderId="0" xfId="0" applyFont="1" applyBorder="1" applyAlignment="1" applyProtection="1">
      <alignment horizontal="left" vertical="center" indent="1"/>
      <protection hidden="1"/>
    </xf>
    <xf numFmtId="0" fontId="30" fillId="0" borderId="45" xfId="0" applyFont="1" applyBorder="1" applyAlignment="1" applyProtection="1">
      <alignment vertical="center"/>
      <protection hidden="1"/>
    </xf>
    <xf numFmtId="0" fontId="12" fillId="0" borderId="0" xfId="0" applyNumberFormat="1" applyFont="1" applyFill="1" applyBorder="1" applyAlignment="1" applyProtection="1">
      <alignment vertical="center"/>
      <protection hidden="1"/>
    </xf>
    <xf numFmtId="0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2" fillId="0" borderId="38" xfId="0" applyFont="1" applyBorder="1" applyAlignment="1" applyProtection="1">
      <alignment horizontal="center"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3" xfId="0" applyNumberFormat="1" applyFont="1" applyFill="1" applyBorder="1" applyAlignment="1" applyProtection="1">
      <alignment vertical="center"/>
      <protection hidden="1"/>
    </xf>
    <xf numFmtId="0" fontId="12" fillId="0" borderId="4" xfId="0" applyNumberFormat="1" applyFont="1" applyFill="1" applyBorder="1" applyAlignment="1" applyProtection="1">
      <alignment vertical="center"/>
      <protection hidden="1"/>
    </xf>
    <xf numFmtId="0" fontId="12" fillId="0" borderId="0" xfId="0" applyNumberFormat="1" applyFont="1" applyFill="1" applyBorder="1" applyAlignment="1" applyProtection="1">
      <protection hidden="1"/>
    </xf>
    <xf numFmtId="0" fontId="12" fillId="0" borderId="0" xfId="0" applyFont="1" applyFill="1" applyBorder="1" applyAlignment="1" applyProtection="1">
      <protection hidden="1"/>
    </xf>
    <xf numFmtId="0" fontId="12" fillId="0" borderId="0" xfId="0" applyFont="1" applyFill="1" applyBorder="1" applyAlignment="1" applyProtection="1">
      <alignment vertical="center"/>
      <protection hidden="1"/>
    </xf>
    <xf numFmtId="168" fontId="12" fillId="0" borderId="0" xfId="0" applyNumberFormat="1" applyFont="1" applyFill="1" applyBorder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vertical="center"/>
      <protection hidden="1"/>
    </xf>
    <xf numFmtId="172" fontId="12" fillId="0" borderId="0" xfId="0" applyNumberFormat="1" applyFont="1" applyFill="1" applyBorder="1" applyAlignment="1" applyProtection="1">
      <alignment vertical="center"/>
      <protection hidden="1"/>
    </xf>
    <xf numFmtId="0" fontId="12" fillId="0" borderId="0" xfId="0" applyFont="1" applyBorder="1" applyAlignment="1" applyProtection="1">
      <alignment horizontal="center" vertical="center"/>
      <protection hidden="1"/>
    </xf>
    <xf numFmtId="0" fontId="12" fillId="0" borderId="0" xfId="0" applyFont="1" applyBorder="1" applyAlignment="1">
      <alignment horizontal="left" vertical="center" indent="1"/>
    </xf>
    <xf numFmtId="172" fontId="12" fillId="0" borderId="0" xfId="0" applyNumberFormat="1" applyFont="1" applyBorder="1" applyAlignment="1">
      <alignment horizontal="left" vertical="center" indent="1"/>
    </xf>
    <xf numFmtId="2" fontId="12" fillId="0" borderId="0" xfId="0" applyNumberFormat="1" applyFont="1" applyBorder="1" applyAlignment="1" applyProtection="1">
      <alignment horizontal="center" vertical="center"/>
      <protection hidden="1"/>
    </xf>
    <xf numFmtId="0" fontId="12" fillId="0" borderId="28" xfId="0" applyNumberFormat="1" applyFont="1" applyFill="1" applyBorder="1" applyAlignment="1" applyProtection="1">
      <alignment vertical="center"/>
      <protection hidden="1"/>
    </xf>
    <xf numFmtId="0" fontId="12" fillId="0" borderId="26" xfId="0" applyFont="1" applyBorder="1" applyAlignment="1" applyProtection="1">
      <alignment vertical="center"/>
      <protection hidden="1"/>
    </xf>
    <xf numFmtId="0" fontId="12" fillId="0" borderId="27" xfId="0" applyNumberFormat="1" applyFont="1" applyFill="1" applyBorder="1" applyAlignment="1" applyProtection="1">
      <alignment vertical="center"/>
      <protection hidden="1"/>
    </xf>
    <xf numFmtId="0" fontId="12" fillId="0" borderId="37" xfId="0" applyNumberFormat="1" applyFont="1" applyFill="1" applyBorder="1" applyAlignment="1" applyProtection="1">
      <alignment vertical="center"/>
      <protection hidden="1"/>
    </xf>
    <xf numFmtId="172" fontId="12" fillId="0" borderId="0" xfId="0" applyNumberFormat="1" applyFont="1" applyBorder="1" applyAlignment="1">
      <alignment horizontal="left" vertical="center" indent="1"/>
    </xf>
    <xf numFmtId="0" fontId="12" fillId="0" borderId="26" xfId="0" applyNumberFormat="1" applyFont="1" applyFill="1" applyBorder="1" applyAlignment="1" applyProtection="1">
      <alignment vertical="center"/>
      <protection hidden="1"/>
    </xf>
    <xf numFmtId="0" fontId="12" fillId="0" borderId="0" xfId="0" applyFont="1" applyBorder="1" applyAlignment="1">
      <alignment horizontal="left" vertical="center" indent="1"/>
    </xf>
    <xf numFmtId="0" fontId="12" fillId="0" borderId="26" xfId="0" applyFont="1" applyBorder="1" applyAlignment="1">
      <alignment horizontal="left" vertical="center" indent="1"/>
    </xf>
    <xf numFmtId="0" fontId="12" fillId="0" borderId="36" xfId="0" applyFont="1" applyBorder="1" applyAlignment="1">
      <alignment horizontal="left" vertical="center" indent="1"/>
    </xf>
    <xf numFmtId="178" fontId="12" fillId="0" borderId="0" xfId="0" applyNumberFormat="1" applyFont="1" applyFill="1" applyBorder="1" applyAlignment="1" applyProtection="1">
      <alignment horizontal="left" vertical="center" indent="1"/>
      <protection hidden="1"/>
    </xf>
    <xf numFmtId="178" fontId="12" fillId="0" borderId="0" xfId="0" applyNumberFormat="1" applyFont="1" applyBorder="1" applyAlignment="1">
      <alignment horizontal="left" vertical="center" indent="1"/>
    </xf>
    <xf numFmtId="0" fontId="12" fillId="0" borderId="0" xfId="0" applyFont="1" applyFill="1" applyBorder="1" applyAlignment="1" applyProtection="1">
      <alignment horizontal="right" vertical="center"/>
      <protection hidden="1"/>
    </xf>
    <xf numFmtId="0" fontId="33" fillId="0" borderId="0" xfId="0" applyFont="1" applyBorder="1" applyAlignment="1" applyProtection="1">
      <alignment vertical="center"/>
      <protection hidden="1"/>
    </xf>
    <xf numFmtId="0" fontId="12" fillId="0" borderId="38" xfId="0" applyFont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left" vertical="center" indent="1"/>
      <protection hidden="1"/>
    </xf>
    <xf numFmtId="0" fontId="0" fillId="0" borderId="0" xfId="0" applyBorder="1" applyAlignment="1">
      <alignment vertical="center"/>
    </xf>
    <xf numFmtId="2" fontId="12" fillId="0" borderId="0" xfId="0" applyNumberFormat="1" applyFont="1" applyFill="1" applyBorder="1" applyAlignment="1" applyProtection="1">
      <alignment horizontal="center" vertical="center"/>
      <protection hidden="1"/>
    </xf>
    <xf numFmtId="179" fontId="22" fillId="0" borderId="0" xfId="0" applyNumberFormat="1" applyFont="1" applyFill="1" applyBorder="1" applyAlignment="1" applyProtection="1">
      <alignment horizontal="left" vertical="center" indent="1"/>
      <protection hidden="1"/>
    </xf>
    <xf numFmtId="179" fontId="22" fillId="0" borderId="0" xfId="0" applyNumberFormat="1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0" xfId="0" applyFont="1" applyFill="1" applyBorder="1" applyAlignment="1" applyProtection="1">
      <alignment vertical="center"/>
      <protection hidden="1"/>
    </xf>
    <xf numFmtId="172" fontId="0" fillId="0" borderId="0" xfId="0" applyNumberFormat="1" applyFont="1" applyFill="1" applyBorder="1" applyAlignment="1" applyProtection="1">
      <alignment vertical="center"/>
      <protection hidden="1"/>
    </xf>
    <xf numFmtId="174" fontId="22" fillId="0" borderId="0" xfId="0" applyNumberFormat="1" applyFont="1" applyFill="1" applyBorder="1" applyAlignment="1" applyProtection="1">
      <alignment horizontal="left" vertical="center" indent="1"/>
      <protection hidden="1"/>
    </xf>
    <xf numFmtId="174" fontId="22" fillId="0" borderId="0" xfId="0" applyNumberFormat="1" applyFont="1" applyBorder="1" applyAlignment="1">
      <alignment horizontal="left" vertical="center" indent="1"/>
    </xf>
    <xf numFmtId="182" fontId="22" fillId="0" borderId="0" xfId="0" applyNumberFormat="1" applyFont="1" applyFill="1" applyBorder="1" applyAlignment="1" applyProtection="1">
      <alignment horizontal="left" vertical="center" indent="1"/>
      <protection hidden="1"/>
    </xf>
    <xf numFmtId="166" fontId="22" fillId="0" borderId="0" xfId="0" applyNumberFormat="1" applyFont="1" applyFill="1" applyBorder="1" applyAlignment="1" applyProtection="1">
      <alignment horizontal="left" vertical="center" indent="1"/>
      <protection hidden="1"/>
    </xf>
    <xf numFmtId="166" fontId="22" fillId="0" borderId="0" xfId="0" applyNumberFormat="1" applyFont="1" applyBorder="1" applyAlignment="1">
      <alignment horizontal="left" vertical="center" indent="1"/>
    </xf>
    <xf numFmtId="0" fontId="30" fillId="0" borderId="36" xfId="0" applyNumberFormat="1" applyFont="1" applyFill="1" applyBorder="1" applyAlignment="1" applyProtection="1">
      <alignment vertical="center"/>
      <protection hidden="1"/>
    </xf>
    <xf numFmtId="0" fontId="12" fillId="0" borderId="26" xfId="0" applyFont="1" applyFill="1" applyBorder="1" applyAlignment="1" applyProtection="1">
      <alignment vertical="center"/>
      <protection hidden="1"/>
    </xf>
    <xf numFmtId="0" fontId="12" fillId="0" borderId="45" xfId="0" applyNumberFormat="1" applyFont="1" applyFill="1" applyBorder="1" applyAlignment="1" applyProtection="1">
      <alignment vertical="center"/>
      <protection hidden="1"/>
    </xf>
    <xf numFmtId="0" fontId="12" fillId="0" borderId="36" xfId="0" applyFont="1" applyFill="1" applyBorder="1" applyAlignment="1" applyProtection="1">
      <alignment vertical="center"/>
      <protection hidden="1"/>
    </xf>
    <xf numFmtId="172" fontId="12" fillId="0" borderId="26" xfId="0" applyNumberFormat="1" applyFont="1" applyBorder="1" applyAlignment="1">
      <alignment horizontal="left" vertical="center" indent="1"/>
    </xf>
    <xf numFmtId="172" fontId="12" fillId="0" borderId="36" xfId="0" applyNumberFormat="1" applyFont="1" applyBorder="1" applyAlignment="1">
      <alignment horizontal="left" vertical="center" indent="1"/>
    </xf>
    <xf numFmtId="0" fontId="11" fillId="0" borderId="0" xfId="0" applyFont="1" applyBorder="1" applyAlignment="1" applyProtection="1">
      <alignment vertical="center"/>
      <protection hidden="1"/>
    </xf>
    <xf numFmtId="0" fontId="11" fillId="0" borderId="0" xfId="0" applyFont="1" applyBorder="1" applyAlignment="1" applyProtection="1">
      <alignment horizontal="right" vertical="center"/>
      <protection hidden="1"/>
    </xf>
    <xf numFmtId="0" fontId="48" fillId="0" borderId="0" xfId="0" applyFont="1" applyBorder="1" applyAlignment="1" applyProtection="1">
      <alignment vertical="center"/>
      <protection hidden="1"/>
    </xf>
    <xf numFmtId="166" fontId="22" fillId="0" borderId="0" xfId="0" applyNumberFormat="1" applyFont="1" applyFill="1" applyBorder="1" applyAlignment="1" applyProtection="1">
      <alignment horizontal="left" vertical="center"/>
      <protection hidden="1"/>
    </xf>
    <xf numFmtId="166" fontId="11" fillId="0" borderId="0" xfId="0" applyNumberFormat="1" applyFont="1" applyFill="1" applyBorder="1" applyAlignment="1" applyProtection="1">
      <alignment horizontal="left" vertical="center"/>
      <protection hidden="1"/>
    </xf>
    <xf numFmtId="178" fontId="22" fillId="0" borderId="0" xfId="0" applyNumberFormat="1" applyFont="1" applyFill="1" applyBorder="1" applyAlignment="1" applyProtection="1">
      <alignment horizontal="left" vertical="center" indent="1"/>
      <protection hidden="1"/>
    </xf>
    <xf numFmtId="174" fontId="11" fillId="0" borderId="0" xfId="0" applyNumberFormat="1" applyFont="1" applyFill="1" applyBorder="1" applyAlignment="1" applyProtection="1">
      <alignment horizontal="left" vertical="center" indent="1"/>
      <protection hidden="1"/>
    </xf>
    <xf numFmtId="0" fontId="0" fillId="0" borderId="0" xfId="0" applyNumberFormat="1" applyBorder="1" applyAlignment="1" applyProtection="1">
      <alignment vertical="center"/>
      <protection hidden="1"/>
    </xf>
    <xf numFmtId="178" fontId="11" fillId="0" borderId="0" xfId="0" applyNumberFormat="1" applyFont="1" applyFill="1" applyBorder="1" applyAlignment="1" applyProtection="1">
      <alignment horizontal="left" vertical="center" indent="1"/>
      <protection hidden="1"/>
    </xf>
    <xf numFmtId="0" fontId="11" fillId="0" borderId="26" xfId="0" applyFont="1" applyBorder="1" applyAlignment="1" applyProtection="1">
      <alignment vertical="center"/>
      <protection hidden="1"/>
    </xf>
    <xf numFmtId="182" fontId="22" fillId="0" borderId="26" xfId="0" applyNumberFormat="1" applyFont="1" applyFill="1" applyBorder="1" applyAlignment="1" applyProtection="1">
      <alignment horizontal="left" vertical="center" indent="1"/>
      <protection hidden="1"/>
    </xf>
    <xf numFmtId="0" fontId="11" fillId="0" borderId="26" xfId="0" applyFont="1" applyBorder="1" applyAlignment="1" applyProtection="1">
      <alignment horizontal="right" vertical="center"/>
      <protection hidden="1"/>
    </xf>
    <xf numFmtId="0" fontId="11" fillId="0" borderId="36" xfId="0" applyFont="1" applyBorder="1" applyAlignment="1" applyProtection="1">
      <alignment vertical="center"/>
      <protection hidden="1"/>
    </xf>
    <xf numFmtId="0" fontId="12" fillId="0" borderId="36" xfId="0" applyFont="1" applyBorder="1" applyAlignment="1" applyProtection="1">
      <alignment vertical="center"/>
      <protection hidden="1"/>
    </xf>
    <xf numFmtId="0" fontId="22" fillId="0" borderId="36" xfId="0" applyFont="1" applyBorder="1" applyAlignment="1" applyProtection="1">
      <alignment horizontal="center" vertical="center"/>
      <protection hidden="1"/>
    </xf>
    <xf numFmtId="182" fontId="22" fillId="0" borderId="36" xfId="0" applyNumberFormat="1" applyFont="1" applyFill="1" applyBorder="1" applyAlignment="1" applyProtection="1">
      <alignment horizontal="left" vertical="center" indent="1"/>
      <protection hidden="1"/>
    </xf>
    <xf numFmtId="0" fontId="11" fillId="0" borderId="36" xfId="0" applyFont="1" applyBorder="1" applyAlignment="1" applyProtection="1">
      <alignment horizontal="right" vertical="center"/>
      <protection hidden="1"/>
    </xf>
    <xf numFmtId="0" fontId="11" fillId="0" borderId="0" xfId="0" applyFont="1" applyBorder="1" applyAlignment="1" applyProtection="1">
      <alignment horizontal="left" vertical="center" indent="1"/>
      <protection hidden="1"/>
    </xf>
    <xf numFmtId="0" fontId="11" fillId="0" borderId="0" xfId="0" applyFont="1" applyFill="1" applyBorder="1" applyAlignment="1" applyProtection="1">
      <alignment horizontal="right" vertical="center"/>
      <protection hidden="1"/>
    </xf>
    <xf numFmtId="0" fontId="11" fillId="0" borderId="0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0" borderId="3" xfId="0" applyNumberFormat="1" applyFont="1" applyFill="1" applyBorder="1" applyAlignment="1" applyProtection="1">
      <alignment vertical="center"/>
      <protection hidden="1"/>
    </xf>
    <xf numFmtId="0" fontId="11" fillId="0" borderId="4" xfId="0" applyNumberFormat="1" applyFont="1" applyFill="1" applyBorder="1" applyAlignment="1" applyProtection="1">
      <alignment vertical="center"/>
      <protection hidden="1"/>
    </xf>
    <xf numFmtId="0" fontId="11" fillId="0" borderId="0" xfId="0" applyNumberFormat="1" applyFont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vertical="center"/>
      <protection hidden="1"/>
    </xf>
    <xf numFmtId="0" fontId="11" fillId="0" borderId="8" xfId="0" applyFont="1" applyBorder="1" applyAlignment="1" applyProtection="1">
      <alignment horizontal="center" vertical="center"/>
      <protection hidden="1"/>
    </xf>
    <xf numFmtId="164" fontId="11" fillId="0" borderId="16" xfId="0" applyNumberFormat="1" applyFont="1" applyBorder="1" applyAlignment="1" applyProtection="1">
      <alignment horizontal="left" vertical="center" indent="1"/>
      <protection hidden="1"/>
    </xf>
    <xf numFmtId="164" fontId="11" fillId="0" borderId="17" xfId="0" applyNumberFormat="1" applyFont="1" applyBorder="1" applyAlignment="1" applyProtection="1">
      <alignment horizontal="center" vertical="center"/>
      <protection hidden="1"/>
    </xf>
    <xf numFmtId="0" fontId="11" fillId="0" borderId="17" xfId="0" applyFont="1" applyBorder="1" applyAlignment="1" applyProtection="1">
      <alignment vertical="center"/>
      <protection hidden="1"/>
    </xf>
    <xf numFmtId="0" fontId="11" fillId="0" borderId="18" xfId="0" applyFont="1" applyBorder="1" applyAlignment="1" applyProtection="1">
      <alignment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3" xfId="0" applyFont="1" applyBorder="1" applyAlignment="1" applyProtection="1">
      <alignment vertical="center"/>
      <protection hidden="1"/>
    </xf>
    <xf numFmtId="0" fontId="11" fillId="0" borderId="4" xfId="0" applyFont="1" applyBorder="1" applyAlignment="1" applyProtection="1">
      <alignment vertical="center"/>
      <protection hidden="1"/>
    </xf>
    <xf numFmtId="0" fontId="11" fillId="0" borderId="0" xfId="0" applyFont="1" applyAlignment="1" applyProtection="1">
      <alignment horizontal="left" vertical="center" indent="1"/>
      <protection locked="0"/>
    </xf>
    <xf numFmtId="0" fontId="11" fillId="0" borderId="14" xfId="0" applyFont="1" applyBorder="1" applyAlignment="1" applyProtection="1">
      <alignment horizontal="left" vertical="center" indent="1"/>
      <protection locked="0"/>
    </xf>
    <xf numFmtId="0" fontId="11" fillId="0" borderId="14" xfId="0" applyFont="1" applyBorder="1" applyAlignment="1" applyProtection="1">
      <alignment horizontal="right" vertical="center" indent="1"/>
      <protection locked="0"/>
    </xf>
    <xf numFmtId="0" fontId="11" fillId="0" borderId="13" xfId="0" applyFont="1" applyBorder="1" applyAlignment="1" applyProtection="1">
      <alignment horizontal="left" vertical="center" indent="1"/>
      <protection locked="0"/>
    </xf>
    <xf numFmtId="0" fontId="11" fillId="0" borderId="13" xfId="0" applyFont="1" applyBorder="1" applyAlignment="1" applyProtection="1">
      <alignment horizontal="right" vertical="center" indent="1"/>
      <protection locked="0"/>
    </xf>
    <xf numFmtId="0" fontId="11" fillId="0" borderId="0" xfId="0" applyFont="1" applyAlignment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35" xfId="0" applyNumberFormat="1" applyFont="1" applyFill="1" applyBorder="1" applyAlignment="1" applyProtection="1">
      <alignment vertical="center"/>
      <protection hidden="1"/>
    </xf>
    <xf numFmtId="0" fontId="11" fillId="0" borderId="28" xfId="0" applyNumberFormat="1" applyFont="1" applyFill="1" applyBorder="1" applyAlignment="1" applyProtection="1">
      <alignment vertical="center"/>
      <protection hidden="1"/>
    </xf>
    <xf numFmtId="0" fontId="11" fillId="0" borderId="26" xfId="0" applyNumberFormat="1" applyFont="1" applyFill="1" applyBorder="1" applyAlignment="1" applyProtection="1">
      <alignment vertical="center"/>
      <protection hidden="1"/>
    </xf>
    <xf numFmtId="0" fontId="11" fillId="0" borderId="27" xfId="0" applyNumberFormat="1" applyFont="1" applyFill="1" applyBorder="1" applyAlignment="1" applyProtection="1">
      <alignment vertical="center"/>
      <protection hidden="1"/>
    </xf>
    <xf numFmtId="0" fontId="11" fillId="0" borderId="43" xfId="0" applyNumberFormat="1" applyFont="1" applyFill="1" applyBorder="1" applyAlignment="1" applyProtection="1">
      <alignment vertical="center"/>
      <protection hidden="1"/>
    </xf>
    <xf numFmtId="0" fontId="11" fillId="0" borderId="0" xfId="0" applyNumberFormat="1" applyFont="1" applyFill="1" applyBorder="1" applyAlignment="1" applyProtection="1">
      <alignment horizontal="left" vertical="center" indent="1"/>
      <protection hidden="1"/>
    </xf>
    <xf numFmtId="0" fontId="11" fillId="0" borderId="45" xfId="0" applyFont="1" applyBorder="1" applyAlignment="1" applyProtection="1">
      <alignment vertical="center"/>
      <protection hidden="1"/>
    </xf>
    <xf numFmtId="0" fontId="11" fillId="0" borderId="37" xfId="0" applyFont="1" applyBorder="1" applyAlignment="1" applyProtection="1">
      <alignment vertical="center"/>
      <protection hidden="1"/>
    </xf>
    <xf numFmtId="0" fontId="11" fillId="0" borderId="42" xfId="0" applyNumberFormat="1" applyFont="1" applyFill="1" applyBorder="1" applyAlignment="1" applyProtection="1">
      <alignment vertical="center"/>
      <protection hidden="1"/>
    </xf>
    <xf numFmtId="0" fontId="11" fillId="0" borderId="44" xfId="0" applyNumberFormat="1" applyFont="1" applyFill="1" applyBorder="1" applyAlignment="1" applyProtection="1">
      <alignment horizontal="right" vertical="center" indent="1"/>
      <protection hidden="1"/>
    </xf>
    <xf numFmtId="0" fontId="16" fillId="0" borderId="0" xfId="0" applyNumberFormat="1" applyFont="1" applyFill="1" applyBorder="1" applyAlignment="1" applyProtection="1">
      <alignment vertical="center"/>
      <protection hidden="1"/>
    </xf>
    <xf numFmtId="0" fontId="12" fillId="0" borderId="0" xfId="0" applyNumberFormat="1" applyFont="1" applyBorder="1" applyAlignment="1" applyProtection="1">
      <alignment vertical="center"/>
      <protection hidden="1"/>
    </xf>
    <xf numFmtId="0" fontId="47" fillId="0" borderId="3" xfId="0" applyFont="1" applyFill="1" applyBorder="1" applyAlignment="1" applyProtection="1">
      <alignment vertical="center"/>
      <protection hidden="1"/>
    </xf>
    <xf numFmtId="0" fontId="11" fillId="0" borderId="13" xfId="0" applyFont="1" applyBorder="1" applyAlignment="1" applyProtection="1">
      <alignment horizontal="left" vertical="center" indent="1"/>
      <protection hidden="1"/>
    </xf>
    <xf numFmtId="0" fontId="11" fillId="0" borderId="13" xfId="0" applyFont="1" applyBorder="1" applyAlignment="1" applyProtection="1">
      <alignment horizontal="right" vertical="center" indent="1"/>
      <protection hidden="1"/>
    </xf>
    <xf numFmtId="0" fontId="11" fillId="0" borderId="36" xfId="0" applyNumberFormat="1" applyFont="1" applyBorder="1" applyAlignment="1" applyProtection="1">
      <alignment vertical="center"/>
      <protection hidden="1"/>
    </xf>
    <xf numFmtId="0" fontId="12" fillId="0" borderId="36" xfId="0" applyNumberFormat="1" applyFont="1" applyBorder="1" applyAlignment="1" applyProtection="1">
      <alignment vertical="center"/>
      <protection hidden="1"/>
    </xf>
    <xf numFmtId="0" fontId="30" fillId="0" borderId="36" xfId="0" applyNumberFormat="1" applyFont="1" applyBorder="1" applyAlignment="1" applyProtection="1">
      <alignment vertical="center"/>
      <protection hidden="1"/>
    </xf>
    <xf numFmtId="2" fontId="10" fillId="0" borderId="0" xfId="0" applyNumberFormat="1" applyFont="1" applyAlignment="1">
      <alignment horizontal="left" indent="1"/>
    </xf>
    <xf numFmtId="2" fontId="15" fillId="0" borderId="0" xfId="0" applyNumberFormat="1" applyFont="1" applyAlignment="1">
      <alignment horizontal="left" indent="1"/>
    </xf>
    <xf numFmtId="168" fontId="10" fillId="0" borderId="0" xfId="0" applyNumberFormat="1" applyFont="1" applyAlignment="1">
      <alignment horizontal="left" indent="1"/>
    </xf>
    <xf numFmtId="168" fontId="15" fillId="0" borderId="0" xfId="0" applyNumberFormat="1" applyFont="1" applyAlignment="1">
      <alignment horizontal="left" indent="1"/>
    </xf>
    <xf numFmtId="2" fontId="11" fillId="0" borderId="13" xfId="0" applyNumberFormat="1" applyFont="1" applyBorder="1" applyAlignment="1" applyProtection="1">
      <alignment horizontal="right" vertical="center" indent="1"/>
      <protection locked="0"/>
    </xf>
    <xf numFmtId="0" fontId="9" fillId="0" borderId="0" xfId="0" applyNumberFormat="1" applyFont="1" applyFill="1" applyBorder="1" applyAlignment="1" applyProtection="1">
      <alignment vertical="center"/>
      <protection hidden="1"/>
    </xf>
    <xf numFmtId="0" fontId="33" fillId="0" borderId="45" xfId="0" applyFont="1" applyBorder="1" applyAlignment="1" applyProtection="1">
      <alignment vertical="center"/>
      <protection hidden="1"/>
    </xf>
    <xf numFmtId="0" fontId="30" fillId="0" borderId="36" xfId="0" applyFont="1" applyBorder="1" applyAlignment="1" applyProtection="1">
      <alignment vertical="center"/>
      <protection hidden="1"/>
    </xf>
    <xf numFmtId="166" fontId="11" fillId="0" borderId="13" xfId="0" applyNumberFormat="1" applyFont="1" applyBorder="1" applyAlignment="1" applyProtection="1">
      <alignment horizontal="right" vertical="center" indent="1"/>
      <protection locked="0"/>
    </xf>
    <xf numFmtId="0" fontId="8" fillId="0" borderId="0" xfId="0" applyFont="1" applyBorder="1" applyAlignment="1" applyProtection="1">
      <alignment vertical="center"/>
      <protection hidden="1"/>
    </xf>
    <xf numFmtId="1" fontId="30" fillId="0" borderId="0" xfId="0" applyNumberFormat="1" applyFont="1" applyAlignment="1">
      <alignment horizontal="center" vertical="center"/>
    </xf>
    <xf numFmtId="0" fontId="7" fillId="0" borderId="39" xfId="0" applyNumberFormat="1" applyFont="1" applyFill="1" applyBorder="1" applyAlignment="1" applyProtection="1">
      <alignment horizontal="left" vertical="center" indent="1"/>
      <protection hidden="1"/>
    </xf>
    <xf numFmtId="0" fontId="7" fillId="0" borderId="47" xfId="0" applyNumberFormat="1" applyFont="1" applyFill="1" applyBorder="1" applyAlignment="1" applyProtection="1">
      <alignment horizontal="center" vertical="center"/>
      <protection hidden="1"/>
    </xf>
    <xf numFmtId="0" fontId="6" fillId="0" borderId="47" xfId="0" applyNumberFormat="1" applyFont="1" applyFill="1" applyBorder="1" applyAlignment="1" applyProtection="1">
      <alignment horizontal="right" vertical="center" indent="1"/>
      <protection hidden="1"/>
    </xf>
    <xf numFmtId="0" fontId="25" fillId="0" borderId="48" xfId="0" applyNumberFormat="1" applyFont="1" applyFill="1" applyBorder="1" applyAlignment="1" applyProtection="1">
      <alignment vertical="center"/>
      <protection hidden="1"/>
    </xf>
    <xf numFmtId="2" fontId="25" fillId="0" borderId="47" xfId="0" applyNumberFormat="1" applyFont="1" applyFill="1" applyBorder="1" applyAlignment="1" applyProtection="1">
      <alignment horizontal="right" vertical="center" indent="1"/>
      <protection hidden="1"/>
    </xf>
    <xf numFmtId="0" fontId="7" fillId="0" borderId="48" xfId="0" applyNumberFormat="1" applyFont="1" applyFill="1" applyBorder="1" applyAlignment="1" applyProtection="1">
      <alignment vertical="center"/>
      <protection hidden="1"/>
    </xf>
    <xf numFmtId="0" fontId="7" fillId="0" borderId="39" xfId="0" applyNumberFormat="1" applyFont="1" applyBorder="1" applyAlignment="1" applyProtection="1">
      <alignment horizontal="left" vertical="center" indent="1"/>
      <protection hidden="1"/>
    </xf>
    <xf numFmtId="2" fontId="30" fillId="0" borderId="47" xfId="0" applyNumberFormat="1" applyFont="1" applyBorder="1" applyAlignment="1" applyProtection="1">
      <alignment horizontal="right" vertical="center" indent="1"/>
      <protection hidden="1"/>
    </xf>
    <xf numFmtId="0" fontId="7" fillId="0" borderId="48" xfId="0" applyNumberFormat="1" applyFont="1" applyBorder="1" applyAlignment="1" applyProtection="1">
      <alignment vertical="center"/>
      <protection hidden="1"/>
    </xf>
    <xf numFmtId="0" fontId="7" fillId="0" borderId="39" xfId="0" applyFont="1" applyBorder="1" applyAlignment="1" applyProtection="1">
      <alignment horizontal="left" vertical="center" indent="1"/>
      <protection hidden="1"/>
    </xf>
    <xf numFmtId="0" fontId="7" fillId="0" borderId="48" xfId="0" applyFont="1" applyBorder="1" applyAlignment="1" applyProtection="1">
      <alignment vertical="center"/>
      <protection hidden="1"/>
    </xf>
    <xf numFmtId="166" fontId="7" fillId="0" borderId="39" xfId="0" applyNumberFormat="1" applyFont="1" applyBorder="1" applyAlignment="1">
      <alignment horizontal="left" vertical="center" indent="1"/>
    </xf>
    <xf numFmtId="0" fontId="48" fillId="0" borderId="39" xfId="0" applyFont="1" applyBorder="1" applyAlignment="1" applyProtection="1">
      <alignment horizontal="left" vertical="center" indent="1"/>
      <protection hidden="1"/>
    </xf>
    <xf numFmtId="168" fontId="30" fillId="0" borderId="47" xfId="0" applyNumberFormat="1" applyFont="1" applyBorder="1" applyAlignment="1" applyProtection="1">
      <alignment horizontal="right" vertical="center" indent="1"/>
      <protection hidden="1"/>
    </xf>
    <xf numFmtId="0" fontId="6" fillId="0" borderId="39" xfId="0" applyFont="1" applyBorder="1" applyAlignment="1" applyProtection="1">
      <alignment horizontal="left" vertical="center" indent="1"/>
      <protection hidden="1"/>
    </xf>
    <xf numFmtId="0" fontId="5" fillId="0" borderId="39" xfId="0" applyFont="1" applyBorder="1" applyAlignment="1" applyProtection="1">
      <alignment horizontal="left" vertical="center" indent="1"/>
      <protection hidden="1"/>
    </xf>
    <xf numFmtId="0" fontId="3" fillId="0" borderId="39" xfId="0" applyFont="1" applyBorder="1" applyAlignment="1" applyProtection="1">
      <alignment horizontal="left" vertical="center" indent="1"/>
      <protection hidden="1"/>
    </xf>
    <xf numFmtId="0" fontId="1" fillId="0" borderId="0" xfId="0" applyFont="1"/>
    <xf numFmtId="168" fontId="31" fillId="0" borderId="45" xfId="0" applyNumberFormat="1" applyFont="1" applyBorder="1" applyAlignment="1" applyProtection="1">
      <alignment horizontal="left" vertical="center" indent="1"/>
      <protection hidden="1"/>
    </xf>
    <xf numFmtId="168" fontId="42" fillId="0" borderId="36" xfId="0" applyNumberFormat="1" applyFont="1" applyBorder="1" applyAlignment="1" applyProtection="1">
      <alignment horizontal="left" vertical="center" indent="1"/>
      <protection hidden="1"/>
    </xf>
    <xf numFmtId="168" fontId="42" fillId="0" borderId="37" xfId="0" applyNumberFormat="1" applyFont="1" applyBorder="1" applyAlignment="1" applyProtection="1">
      <alignment horizontal="left" vertical="center" indent="1"/>
      <protection hidden="1"/>
    </xf>
    <xf numFmtId="0" fontId="0" fillId="0" borderId="28" xfId="0" applyBorder="1" applyAlignment="1">
      <alignment horizontal="left" vertical="center" indent="1"/>
    </xf>
    <xf numFmtId="0" fontId="0" fillId="0" borderId="26" xfId="0" applyBorder="1" applyAlignment="1">
      <alignment horizontal="left" vertical="center" indent="1"/>
    </xf>
    <xf numFmtId="0" fontId="0" fillId="0" borderId="27" xfId="0" applyBorder="1" applyAlignment="1">
      <alignment horizontal="left" vertical="center" indent="1"/>
    </xf>
    <xf numFmtId="0" fontId="43" fillId="0" borderId="45" xfId="0" applyFont="1" applyBorder="1" applyAlignment="1" applyProtection="1">
      <alignment horizontal="left" vertical="center" indent="1"/>
      <protection hidden="1"/>
    </xf>
    <xf numFmtId="0" fontId="0" fillId="0" borderId="36" xfId="0" applyBorder="1" applyAlignment="1" applyProtection="1">
      <alignment horizontal="left" vertical="center" indent="1"/>
      <protection hidden="1"/>
    </xf>
    <xf numFmtId="0" fontId="0" fillId="0" borderId="37" xfId="0" applyBorder="1" applyAlignment="1" applyProtection="1">
      <alignment horizontal="left" vertical="center" indent="1"/>
      <protection hidden="1"/>
    </xf>
    <xf numFmtId="176" fontId="31" fillId="0" borderId="45" xfId="0" applyNumberFormat="1" applyFont="1" applyBorder="1" applyAlignment="1" applyProtection="1">
      <alignment horizontal="left" vertical="center" indent="1"/>
      <protection hidden="1"/>
    </xf>
    <xf numFmtId="176" fontId="42" fillId="0" borderId="36" xfId="0" applyNumberFormat="1" applyFont="1" applyBorder="1" applyAlignment="1" applyProtection="1">
      <alignment horizontal="left" vertical="center" indent="1"/>
      <protection hidden="1"/>
    </xf>
    <xf numFmtId="176" fontId="42" fillId="0" borderId="37" xfId="0" applyNumberFormat="1" applyFont="1" applyBorder="1" applyAlignment="1" applyProtection="1">
      <alignment horizontal="left" vertical="center" indent="1"/>
      <protection hidden="1"/>
    </xf>
    <xf numFmtId="0" fontId="43" fillId="0" borderId="45" xfId="0" applyFont="1" applyBorder="1" applyAlignment="1" applyProtection="1">
      <alignment horizontal="left" vertical="center" wrapText="1" indent="1"/>
      <protection hidden="1"/>
    </xf>
    <xf numFmtId="0" fontId="0" fillId="0" borderId="36" xfId="0" applyBorder="1" applyAlignment="1" applyProtection="1">
      <alignment horizontal="left" vertical="center" wrapText="1" indent="1"/>
      <protection hidden="1"/>
    </xf>
    <xf numFmtId="0" fontId="0" fillId="0" borderId="37" xfId="0" applyBorder="1" applyAlignment="1" applyProtection="1">
      <alignment horizontal="left" vertical="center" wrapText="1" indent="1"/>
      <protection hidden="1"/>
    </xf>
    <xf numFmtId="0" fontId="0" fillId="0" borderId="28" xfId="0" applyBorder="1" applyAlignment="1">
      <alignment horizontal="left" vertical="center" wrapText="1" indent="1"/>
    </xf>
    <xf numFmtId="0" fontId="0" fillId="0" borderId="26" xfId="0" applyBorder="1" applyAlignment="1">
      <alignment horizontal="left" vertical="center" wrapText="1" indent="1"/>
    </xf>
    <xf numFmtId="0" fontId="0" fillId="0" borderId="27" xfId="0" applyBorder="1" applyAlignment="1">
      <alignment horizontal="left" vertical="center" wrapText="1" indent="1"/>
    </xf>
    <xf numFmtId="168" fontId="31" fillId="0" borderId="46" xfId="0" applyNumberFormat="1" applyFont="1" applyBorder="1" applyAlignment="1" applyProtection="1">
      <alignment horizontal="left" vertical="center" indent="1"/>
      <protection hidden="1"/>
    </xf>
    <xf numFmtId="168" fontId="42" fillId="0" borderId="46" xfId="0" applyNumberFormat="1" applyFont="1" applyBorder="1" applyAlignment="1" applyProtection="1">
      <alignment horizontal="left" vertical="center" indent="1"/>
      <protection hidden="1"/>
    </xf>
    <xf numFmtId="0" fontId="0" fillId="0" borderId="25" xfId="0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43" fillId="0" borderId="46" xfId="0" applyFont="1" applyBorder="1" applyAlignment="1" applyProtection="1">
      <alignment horizontal="left" vertical="center" indent="1"/>
      <protection hidden="1"/>
    </xf>
    <xf numFmtId="0" fontId="0" fillId="0" borderId="46" xfId="0" applyBorder="1" applyAlignment="1" applyProtection="1">
      <alignment horizontal="left" vertical="center" indent="1"/>
      <protection hidden="1"/>
    </xf>
    <xf numFmtId="176" fontId="31" fillId="0" borderId="46" xfId="0" applyNumberFormat="1" applyFont="1" applyBorder="1" applyAlignment="1" applyProtection="1">
      <alignment horizontal="left" vertical="center" indent="1"/>
      <protection hidden="1"/>
    </xf>
    <xf numFmtId="176" fontId="42" fillId="0" borderId="46" xfId="0" applyNumberFormat="1" applyFont="1" applyBorder="1" applyAlignment="1" applyProtection="1">
      <alignment horizontal="left" vertical="center" indent="1"/>
      <protection hidden="1"/>
    </xf>
    <xf numFmtId="0" fontId="43" fillId="0" borderId="46" xfId="0" applyFont="1" applyBorder="1" applyAlignment="1" applyProtection="1">
      <alignment horizontal="left" vertical="center" wrapText="1" indent="1"/>
      <protection hidden="1"/>
    </xf>
    <xf numFmtId="0" fontId="0" fillId="0" borderId="46" xfId="0" applyBorder="1" applyAlignment="1" applyProtection="1">
      <alignment horizontal="left" vertical="center" wrapText="1" indent="1"/>
      <protection hidden="1"/>
    </xf>
    <xf numFmtId="0" fontId="0" fillId="0" borderId="25" xfId="0" applyBorder="1" applyAlignment="1">
      <alignment horizontal="left" vertical="center" wrapText="1" indent="1"/>
    </xf>
    <xf numFmtId="0" fontId="0" fillId="0" borderId="15" xfId="0" applyBorder="1" applyAlignment="1">
      <alignment horizontal="left" vertical="center" wrapText="1" indent="1"/>
    </xf>
    <xf numFmtId="168" fontId="42" fillId="0" borderId="11" xfId="0" applyNumberFormat="1" applyFont="1" applyBorder="1" applyAlignment="1" applyProtection="1">
      <alignment horizontal="left" vertical="center" indent="1"/>
      <protection hidden="1"/>
    </xf>
    <xf numFmtId="168" fontId="42" fillId="0" borderId="12" xfId="0" applyNumberFormat="1" applyFont="1" applyBorder="1" applyAlignment="1" applyProtection="1">
      <alignment horizontal="left" vertical="center" indent="1"/>
      <protection hidden="1"/>
    </xf>
    <xf numFmtId="0" fontId="0" fillId="0" borderId="11" xfId="0" applyBorder="1" applyAlignment="1" applyProtection="1">
      <alignment horizontal="left" vertical="center" indent="1"/>
      <protection hidden="1"/>
    </xf>
    <xf numFmtId="0" fontId="0" fillId="0" borderId="12" xfId="0" applyBorder="1" applyAlignment="1" applyProtection="1">
      <alignment horizontal="left" vertical="center" indent="1"/>
      <protection hidden="1"/>
    </xf>
    <xf numFmtId="176" fontId="42" fillId="0" borderId="11" xfId="0" applyNumberFormat="1" applyFont="1" applyBorder="1" applyAlignment="1" applyProtection="1">
      <alignment horizontal="left" vertical="center" indent="1"/>
      <protection hidden="1"/>
    </xf>
    <xf numFmtId="176" fontId="42" fillId="0" borderId="12" xfId="0" applyNumberFormat="1" applyFont="1" applyBorder="1" applyAlignment="1" applyProtection="1">
      <alignment horizontal="left" vertical="center" indent="1"/>
      <protection hidden="1"/>
    </xf>
    <xf numFmtId="0" fontId="0" fillId="0" borderId="11" xfId="0" applyBorder="1" applyAlignment="1" applyProtection="1">
      <alignment horizontal="left" vertical="center" wrapText="1" indent="1"/>
      <protection hidden="1"/>
    </xf>
    <xf numFmtId="0" fontId="0" fillId="0" borderId="12" xfId="0" applyBorder="1" applyAlignment="1" applyProtection="1">
      <alignment horizontal="left" vertical="center" wrapText="1" indent="1"/>
      <protection hidden="1"/>
    </xf>
    <xf numFmtId="0" fontId="18" fillId="0" borderId="41" xfId="0" applyFont="1" applyBorder="1" applyAlignment="1" applyProtection="1">
      <alignment vertical="center"/>
      <protection hidden="1"/>
    </xf>
    <xf numFmtId="0" fontId="31" fillId="0" borderId="41" xfId="0" applyFont="1" applyBorder="1" applyAlignment="1" applyProtection="1">
      <alignment vertical="center"/>
      <protection hidden="1"/>
    </xf>
    <xf numFmtId="0" fontId="31" fillId="0" borderId="40" xfId="0" applyFont="1" applyBorder="1" applyAlignment="1" applyProtection="1">
      <alignment vertical="center"/>
      <protection hidden="1"/>
    </xf>
    <xf numFmtId="0" fontId="2" fillId="3" borderId="39" xfId="0" applyFont="1" applyFill="1" applyBorder="1" applyAlignment="1" applyProtection="1">
      <alignment horizontal="center" vertical="center"/>
      <protection hidden="1"/>
    </xf>
    <xf numFmtId="0" fontId="18" fillId="3" borderId="41" xfId="0" applyFont="1" applyFill="1" applyBorder="1" applyAlignment="1" applyProtection="1">
      <alignment horizontal="center" vertical="center"/>
      <protection hidden="1"/>
    </xf>
    <xf numFmtId="0" fontId="18" fillId="3" borderId="40" xfId="0" applyFont="1" applyFill="1" applyBorder="1" applyAlignment="1" applyProtection="1">
      <alignment horizontal="center" vertical="center"/>
      <protection hidden="1"/>
    </xf>
    <xf numFmtId="164" fontId="18" fillId="0" borderId="38" xfId="0" applyNumberFormat="1" applyFont="1" applyBorder="1" applyAlignment="1" applyProtection="1">
      <alignment horizontal="center" vertical="center"/>
      <protection hidden="1"/>
    </xf>
    <xf numFmtId="0" fontId="18" fillId="0" borderId="40" xfId="0" applyFont="1" applyBorder="1" applyAlignment="1" applyProtection="1">
      <alignment vertical="center"/>
      <protection hidden="1"/>
    </xf>
    <xf numFmtId="0" fontId="18" fillId="0" borderId="39" xfId="0" applyFont="1" applyBorder="1" applyAlignment="1" applyProtection="1">
      <alignment vertical="center"/>
      <protection hidden="1"/>
    </xf>
    <xf numFmtId="0" fontId="18" fillId="0" borderId="41" xfId="0" applyFont="1" applyBorder="1" applyAlignment="1" applyProtection="1">
      <alignment horizontal="center" vertical="center"/>
      <protection hidden="1"/>
    </xf>
    <xf numFmtId="0" fontId="18" fillId="0" borderId="40" xfId="0" applyFont="1" applyBorder="1" applyAlignment="1" applyProtection="1">
      <alignment horizontal="center" vertical="center"/>
      <protection hidden="1"/>
    </xf>
    <xf numFmtId="0" fontId="18" fillId="0" borderId="38" xfId="0" applyFont="1" applyBorder="1" applyAlignment="1" applyProtection="1">
      <alignment horizontal="center" vertical="center"/>
      <protection hidden="1"/>
    </xf>
    <xf numFmtId="0" fontId="31" fillId="5" borderId="39" xfId="0" applyFont="1" applyFill="1" applyBorder="1" applyAlignment="1" applyProtection="1">
      <alignment horizontal="left" vertical="center" indent="1"/>
      <protection hidden="1"/>
    </xf>
    <xf numFmtId="0" fontId="42" fillId="5" borderId="41" xfId="0" applyFont="1" applyFill="1" applyBorder="1" applyAlignment="1" applyProtection="1">
      <alignment horizontal="left" vertical="center" indent="1"/>
      <protection hidden="1"/>
    </xf>
    <xf numFmtId="0" fontId="42" fillId="5" borderId="40" xfId="0" applyFont="1" applyFill="1" applyBorder="1" applyAlignment="1" applyProtection="1">
      <alignment horizontal="left" vertical="center" indent="1"/>
      <protection hidden="1"/>
    </xf>
    <xf numFmtId="0" fontId="43" fillId="5" borderId="39" xfId="0" applyFont="1" applyFill="1" applyBorder="1" applyAlignment="1" applyProtection="1">
      <alignment horizontal="left" vertical="center" indent="1"/>
      <protection hidden="1"/>
    </xf>
    <xf numFmtId="0" fontId="0" fillId="0" borderId="41" xfId="0" applyBorder="1" applyAlignment="1" applyProtection="1">
      <alignment horizontal="left" vertical="center" indent="1"/>
      <protection hidden="1"/>
    </xf>
    <xf numFmtId="0" fontId="0" fillId="0" borderId="40" xfId="0" applyBorder="1" applyAlignment="1" applyProtection="1">
      <alignment horizontal="left" vertical="center" indent="1"/>
      <protection hidden="1"/>
    </xf>
    <xf numFmtId="0" fontId="0" fillId="5" borderId="41" xfId="0" applyFill="1" applyBorder="1" applyAlignment="1" applyProtection="1">
      <alignment horizontal="left" vertical="center" indent="1"/>
      <protection hidden="1"/>
    </xf>
    <xf numFmtId="168" fontId="31" fillId="0" borderId="39" xfId="0" applyNumberFormat="1" applyFont="1" applyBorder="1" applyAlignment="1" applyProtection="1">
      <alignment horizontal="left" vertical="center" indent="1"/>
      <protection hidden="1"/>
    </xf>
    <xf numFmtId="168" fontId="42" fillId="0" borderId="41" xfId="0" applyNumberFormat="1" applyFont="1" applyBorder="1" applyAlignment="1" applyProtection="1">
      <alignment horizontal="left" vertical="center" indent="1"/>
      <protection hidden="1"/>
    </xf>
    <xf numFmtId="168" fontId="42" fillId="0" borderId="40" xfId="0" applyNumberFormat="1" applyFont="1" applyBorder="1" applyAlignment="1" applyProtection="1">
      <alignment horizontal="left" vertical="center" indent="1"/>
      <protection hidden="1"/>
    </xf>
    <xf numFmtId="0" fontId="43" fillId="0" borderId="39" xfId="0" applyFont="1" applyBorder="1" applyAlignment="1" applyProtection="1">
      <alignment horizontal="left" vertical="center" indent="1"/>
      <protection hidden="1"/>
    </xf>
    <xf numFmtId="176" fontId="31" fillId="0" borderId="39" xfId="0" applyNumberFormat="1" applyFont="1" applyBorder="1" applyAlignment="1" applyProtection="1">
      <alignment horizontal="left" vertical="center" indent="1"/>
      <protection hidden="1"/>
    </xf>
    <xf numFmtId="176" fontId="42" fillId="0" borderId="41" xfId="0" applyNumberFormat="1" applyFont="1" applyBorder="1" applyAlignment="1" applyProtection="1">
      <alignment horizontal="left" vertical="center" indent="1"/>
      <protection hidden="1"/>
    </xf>
    <xf numFmtId="176" fontId="42" fillId="0" borderId="40" xfId="0" applyNumberFormat="1" applyFont="1" applyBorder="1" applyAlignment="1" applyProtection="1">
      <alignment horizontal="left" vertical="center" indent="1"/>
      <protection hidden="1"/>
    </xf>
    <xf numFmtId="177" fontId="11" fillId="0" borderId="38" xfId="0" applyNumberFormat="1" applyFont="1" applyFill="1" applyBorder="1" applyAlignment="1" applyProtection="1">
      <alignment horizontal="center" vertical="center"/>
      <protection hidden="1"/>
    </xf>
    <xf numFmtId="177" fontId="0" fillId="0" borderId="38" xfId="0" applyNumberFormat="1" applyBorder="1" applyAlignment="1">
      <alignment horizontal="center" vertical="center"/>
    </xf>
    <xf numFmtId="0" fontId="11" fillId="0" borderId="39" xfId="0" applyNumberFormat="1" applyFont="1" applyFill="1" applyBorder="1" applyAlignment="1" applyProtection="1">
      <alignment horizontal="right" vertical="center" indent="1"/>
      <protection hidden="1"/>
    </xf>
    <xf numFmtId="0" fontId="0" fillId="0" borderId="47" xfId="0" applyBorder="1" applyAlignment="1">
      <alignment horizontal="right" vertical="center" indent="1"/>
    </xf>
    <xf numFmtId="0" fontId="0" fillId="0" borderId="48" xfId="0" applyBorder="1" applyAlignment="1">
      <alignment horizontal="right" vertical="center" indent="1"/>
    </xf>
    <xf numFmtId="2" fontId="11" fillId="0" borderId="38" xfId="0" applyNumberFormat="1" applyFont="1" applyFill="1" applyBorder="1" applyAlignment="1" applyProtection="1">
      <alignment horizontal="center" vertical="center"/>
      <protection hidden="1"/>
    </xf>
    <xf numFmtId="2" fontId="0" fillId="0" borderId="38" xfId="0" applyNumberFormat="1" applyBorder="1" applyAlignment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 indent="1"/>
      <protection hidden="1"/>
    </xf>
    <xf numFmtId="0" fontId="0" fillId="0" borderId="0" xfId="0" applyAlignment="1">
      <alignment horizontal="left" vertical="center" indent="1"/>
    </xf>
    <xf numFmtId="0" fontId="46" fillId="2" borderId="39" xfId="0" applyFont="1" applyFill="1" applyBorder="1" applyAlignment="1" applyProtection="1">
      <alignment vertical="center"/>
      <protection hidden="1"/>
    </xf>
    <xf numFmtId="0" fontId="0" fillId="0" borderId="47" xfId="0" applyBorder="1" applyAlignment="1" applyProtection="1">
      <alignment vertical="center"/>
      <protection hidden="1"/>
    </xf>
    <xf numFmtId="0" fontId="0" fillId="0" borderId="48" xfId="0" applyBorder="1" applyAlignment="1" applyProtection="1">
      <alignment vertical="center"/>
      <protection hidden="1"/>
    </xf>
    <xf numFmtId="168" fontId="11" fillId="0" borderId="38" xfId="0" applyNumberFormat="1" applyFont="1" applyFill="1" applyBorder="1" applyAlignment="1" applyProtection="1">
      <alignment horizontal="center" vertical="center"/>
      <protection hidden="1"/>
    </xf>
    <xf numFmtId="168" fontId="0" fillId="0" borderId="38" xfId="0" applyNumberFormat="1" applyBorder="1" applyAlignment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  <protection hidden="1"/>
    </xf>
    <xf numFmtId="0" fontId="0" fillId="0" borderId="38" xfId="0" applyBorder="1" applyAlignment="1">
      <alignment horizontal="center" vertical="center"/>
    </xf>
    <xf numFmtId="0" fontId="11" fillId="0" borderId="39" xfId="0" applyNumberFormat="1" applyFont="1" applyFill="1" applyBorder="1" applyAlignment="1" applyProtection="1">
      <alignment horizontal="left" vertical="center" indent="1"/>
      <protection hidden="1"/>
    </xf>
    <xf numFmtId="0" fontId="0" fillId="0" borderId="47" xfId="0" applyBorder="1" applyAlignment="1">
      <alignment horizontal="left" vertical="center" indent="1"/>
    </xf>
    <xf numFmtId="168" fontId="11" fillId="2" borderId="38" xfId="0" applyNumberFormat="1" applyFont="1" applyFill="1" applyBorder="1" applyAlignment="1" applyProtection="1">
      <alignment horizontal="center" vertical="center"/>
      <protection locked="0"/>
    </xf>
    <xf numFmtId="168" fontId="0" fillId="2" borderId="38" xfId="0" applyNumberFormat="1" applyFill="1" applyBorder="1" applyAlignment="1" applyProtection="1">
      <alignment horizontal="center" vertical="center"/>
      <protection locked="0"/>
    </xf>
    <xf numFmtId="0" fontId="11" fillId="0" borderId="38" xfId="0" applyFont="1" applyFill="1" applyBorder="1" applyAlignment="1" applyProtection="1">
      <alignment horizontal="center" vertical="center"/>
      <protection hidden="1"/>
    </xf>
    <xf numFmtId="2" fontId="11" fillId="0" borderId="39" xfId="0" applyNumberFormat="1" applyFont="1" applyFill="1" applyBorder="1" applyAlignment="1" applyProtection="1">
      <alignment horizontal="center" vertical="center"/>
      <protection hidden="1"/>
    </xf>
    <xf numFmtId="2" fontId="0" fillId="0" borderId="48" xfId="0" applyNumberFormat="1" applyBorder="1" applyAlignment="1">
      <alignment horizontal="center" vertical="center"/>
    </xf>
    <xf numFmtId="0" fontId="11" fillId="0" borderId="7" xfId="0" applyFont="1" applyBorder="1" applyAlignment="1" applyProtection="1">
      <alignment vertical="center"/>
      <protection hidden="1"/>
    </xf>
    <xf numFmtId="0" fontId="11" fillId="0" borderId="8" xfId="0" applyFont="1" applyBorder="1" applyAlignment="1" applyProtection="1">
      <alignment vertical="center"/>
      <protection hidden="1"/>
    </xf>
    <xf numFmtId="0" fontId="11" fillId="0" borderId="8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left" vertical="center" indent="1"/>
      <protection hidden="1"/>
    </xf>
    <xf numFmtId="0" fontId="11" fillId="0" borderId="5" xfId="0" applyFont="1" applyBorder="1" applyAlignment="1" applyProtection="1">
      <alignment horizontal="left" vertical="center" indent="1"/>
      <protection hidden="1"/>
    </xf>
    <xf numFmtId="164" fontId="4" fillId="0" borderId="5" xfId="0" applyNumberFormat="1" applyFont="1" applyBorder="1" applyAlignment="1" applyProtection="1">
      <alignment horizontal="left" vertical="center" indent="1"/>
      <protection locked="0"/>
    </xf>
    <xf numFmtId="164" fontId="11" fillId="0" borderId="5" xfId="0" applyNumberFormat="1" applyFont="1" applyBorder="1" applyAlignment="1" applyProtection="1">
      <alignment horizontal="left" vertical="center" indent="1"/>
      <protection locked="0"/>
    </xf>
    <xf numFmtId="164" fontId="11" fillId="0" borderId="5" xfId="0" applyNumberFormat="1" applyFont="1" applyBorder="1" applyAlignment="1" applyProtection="1">
      <alignment horizontal="center" vertical="center"/>
      <protection hidden="1"/>
    </xf>
    <xf numFmtId="0" fontId="11" fillId="3" borderId="7" xfId="0" applyFont="1" applyFill="1" applyBorder="1" applyAlignment="1" applyProtection="1">
      <alignment horizontal="center" vertical="center"/>
      <protection hidden="1"/>
    </xf>
    <xf numFmtId="0" fontId="11" fillId="3" borderId="8" xfId="0" applyFont="1" applyFill="1" applyBorder="1" applyAlignment="1" applyProtection="1">
      <alignment horizontal="center" vertical="center"/>
      <protection hidden="1"/>
    </xf>
    <xf numFmtId="0" fontId="11" fillId="3" borderId="9" xfId="0" applyFont="1" applyFill="1" applyBorder="1" applyAlignment="1" applyProtection="1">
      <alignment horizontal="center" vertical="center"/>
      <protection hidden="1"/>
    </xf>
    <xf numFmtId="2" fontId="11" fillId="4" borderId="38" xfId="0" applyNumberFormat="1" applyFont="1" applyFill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hidden="1"/>
    </xf>
    <xf numFmtId="0" fontId="49" fillId="0" borderId="19" xfId="0" applyNumberFormat="1" applyFont="1" applyFill="1" applyBorder="1" applyAlignment="1" applyProtection="1">
      <alignment horizontal="center" vertical="center" wrapText="1"/>
      <protection hidden="1"/>
    </xf>
    <xf numFmtId="0" fontId="49" fillId="0" borderId="20" xfId="0" applyFont="1" applyBorder="1" applyAlignment="1" applyProtection="1">
      <alignment horizontal="center" vertical="center" wrapText="1"/>
      <protection hidden="1"/>
    </xf>
    <xf numFmtId="0" fontId="49" fillId="0" borderId="21" xfId="0" applyFont="1" applyBorder="1" applyAlignment="1" applyProtection="1">
      <alignment horizontal="center" vertical="center" wrapText="1"/>
      <protection hidden="1"/>
    </xf>
    <xf numFmtId="0" fontId="49" fillId="0" borderId="3" xfId="0" applyFont="1" applyBorder="1" applyAlignment="1" applyProtection="1">
      <alignment horizontal="center" vertical="center" wrapText="1"/>
      <protection hidden="1"/>
    </xf>
    <xf numFmtId="0" fontId="49" fillId="0" borderId="0" xfId="0" applyFont="1" applyBorder="1" applyAlignment="1" applyProtection="1">
      <alignment horizontal="center" vertical="center" wrapText="1"/>
      <protection hidden="1"/>
    </xf>
    <xf numFmtId="0" fontId="49" fillId="0" borderId="4" xfId="0" applyFont="1" applyBorder="1" applyAlignment="1" applyProtection="1">
      <alignment horizontal="center" vertical="center" wrapText="1"/>
      <protection hidden="1"/>
    </xf>
    <xf numFmtId="0" fontId="49" fillId="0" borderId="22" xfId="0" applyFont="1" applyBorder="1" applyAlignment="1" applyProtection="1">
      <alignment horizontal="center" vertical="center" wrapText="1"/>
      <protection hidden="1"/>
    </xf>
    <xf numFmtId="0" fontId="49" fillId="0" borderId="23" xfId="0" applyFont="1" applyBorder="1" applyAlignment="1" applyProtection="1">
      <alignment horizontal="center" vertical="center" wrapText="1"/>
      <protection hidden="1"/>
    </xf>
    <xf numFmtId="0" fontId="49" fillId="0" borderId="24" xfId="0" applyFont="1" applyBorder="1" applyAlignment="1" applyProtection="1">
      <alignment horizontal="center" vertical="center" wrapText="1"/>
      <protection hidden="1"/>
    </xf>
    <xf numFmtId="0" fontId="31" fillId="0" borderId="47" xfId="0" applyFont="1" applyBorder="1" applyAlignment="1" applyProtection="1">
      <alignment vertical="center"/>
      <protection locked="0"/>
    </xf>
    <xf numFmtId="0" fontId="31" fillId="0" borderId="48" xfId="0" applyFont="1" applyBorder="1" applyAlignment="1" applyProtection="1">
      <alignment vertical="center"/>
      <protection locked="0"/>
    </xf>
    <xf numFmtId="0" fontId="11" fillId="0" borderId="47" xfId="0" applyFont="1" applyBorder="1" applyAlignment="1" applyProtection="1">
      <alignment vertical="center"/>
      <protection locked="0"/>
    </xf>
    <xf numFmtId="0" fontId="11" fillId="0" borderId="48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left" vertical="center" indent="1"/>
      <protection locked="0"/>
    </xf>
    <xf numFmtId="0" fontId="11" fillId="0" borderId="5" xfId="0" applyFont="1" applyBorder="1" applyAlignment="1" applyProtection="1">
      <alignment horizontal="left" vertical="center" indent="1"/>
      <protection locked="0"/>
    </xf>
    <xf numFmtId="0" fontId="11" fillId="0" borderId="8" xfId="0" applyFont="1" applyBorder="1" applyAlignment="1" applyProtection="1">
      <alignment vertical="center"/>
      <protection locked="0"/>
    </xf>
    <xf numFmtId="0" fontId="11" fillId="0" borderId="9" xfId="0" applyFont="1" applyBorder="1" applyAlignment="1" applyProtection="1">
      <alignment vertical="center"/>
      <protection locked="0"/>
    </xf>
    <xf numFmtId="0" fontId="10" fillId="0" borderId="45" xfId="0" applyFont="1" applyFill="1" applyBorder="1" applyAlignment="1" applyProtection="1">
      <alignment horizontal="right" vertical="center" indent="1"/>
      <protection hidden="1"/>
    </xf>
    <xf numFmtId="0" fontId="0" fillId="0" borderId="36" xfId="0" applyBorder="1" applyAlignment="1">
      <alignment horizontal="right" vertical="center" indent="1"/>
    </xf>
    <xf numFmtId="0" fontId="0" fillId="0" borderId="29" xfId="0" applyBorder="1" applyAlignment="1">
      <alignment horizontal="right" vertical="center" indent="1"/>
    </xf>
    <xf numFmtId="0" fontId="0" fillId="0" borderId="31" xfId="0" applyBorder="1" applyAlignment="1">
      <alignment horizontal="right" vertical="center" indent="1"/>
    </xf>
    <xf numFmtId="0" fontId="0" fillId="0" borderId="32" xfId="0" applyBorder="1" applyAlignment="1">
      <alignment horizontal="right" vertical="center" indent="1"/>
    </xf>
    <xf numFmtId="0" fontId="0" fillId="0" borderId="33" xfId="0" applyBorder="1" applyAlignment="1">
      <alignment horizontal="right" vertical="center" indent="1"/>
    </xf>
    <xf numFmtId="0" fontId="20" fillId="2" borderId="39" xfId="0" applyNumberFormat="1" applyFont="1" applyFill="1" applyBorder="1" applyAlignment="1" applyProtection="1">
      <alignment horizontal="left" vertical="center" indent="1"/>
      <protection locked="0" hidden="1"/>
    </xf>
    <xf numFmtId="0" fontId="0" fillId="2" borderId="47" xfId="0" applyNumberFormat="1" applyFill="1" applyBorder="1" applyAlignment="1" applyProtection="1">
      <alignment horizontal="left" vertical="center" indent="1"/>
      <protection locked="0" hidden="1"/>
    </xf>
    <xf numFmtId="0" fontId="0" fillId="0" borderId="47" xfId="0" applyNumberFormat="1" applyBorder="1" applyAlignment="1" applyProtection="1">
      <alignment horizontal="left" vertical="center" indent="1"/>
      <protection locked="0" hidden="1"/>
    </xf>
    <xf numFmtId="0" fontId="0" fillId="0" borderId="48" xfId="0" applyBorder="1" applyAlignment="1">
      <alignment horizontal="left" vertical="center" indent="1"/>
    </xf>
    <xf numFmtId="167" fontId="22" fillId="0" borderId="38" xfId="0" applyNumberFormat="1" applyFont="1" applyFill="1" applyBorder="1" applyAlignment="1" applyProtection="1">
      <alignment horizontal="center" vertical="center"/>
      <protection hidden="1"/>
    </xf>
    <xf numFmtId="0" fontId="0" fillId="0" borderId="38" xfId="0" applyBorder="1" applyAlignment="1" applyProtection="1">
      <alignment horizontal="center" vertical="center"/>
      <protection hidden="1"/>
    </xf>
    <xf numFmtId="169" fontId="22" fillId="0" borderId="38" xfId="0" applyNumberFormat="1" applyFont="1" applyFill="1" applyBorder="1" applyAlignment="1" applyProtection="1">
      <alignment horizontal="center" vertical="center"/>
      <protection hidden="1"/>
    </xf>
    <xf numFmtId="0" fontId="12" fillId="0" borderId="38" xfId="0" applyFont="1" applyFill="1" applyBorder="1" applyAlignment="1" applyProtection="1">
      <alignment horizontal="left" vertical="center" indent="1"/>
      <protection hidden="1"/>
    </xf>
    <xf numFmtId="0" fontId="0" fillId="0" borderId="38" xfId="0" applyBorder="1" applyAlignment="1" applyProtection="1">
      <alignment horizontal="left" vertical="center" indent="1"/>
      <protection hidden="1"/>
    </xf>
    <xf numFmtId="2" fontId="22" fillId="0" borderId="38" xfId="0" applyNumberFormat="1" applyFont="1" applyFill="1" applyBorder="1" applyAlignment="1" applyProtection="1">
      <alignment horizontal="center" vertical="center"/>
      <protection hidden="1"/>
    </xf>
    <xf numFmtId="2" fontId="0" fillId="0" borderId="38" xfId="0" applyNumberFormat="1" applyBorder="1" applyAlignment="1" applyProtection="1">
      <alignment horizontal="center" vertical="center"/>
      <protection hidden="1"/>
    </xf>
    <xf numFmtId="0" fontId="11" fillId="0" borderId="38" xfId="0" applyFont="1" applyFill="1" applyBorder="1" applyAlignment="1" applyProtection="1">
      <alignment horizontal="left" vertical="center" indent="1"/>
      <protection hidden="1"/>
    </xf>
    <xf numFmtId="173" fontId="22" fillId="0" borderId="38" xfId="0" applyNumberFormat="1" applyFont="1" applyFill="1" applyBorder="1" applyAlignment="1" applyProtection="1">
      <alignment horizontal="center" vertical="center"/>
      <protection hidden="1"/>
    </xf>
    <xf numFmtId="173" fontId="0" fillId="0" borderId="38" xfId="0" applyNumberFormat="1" applyBorder="1" applyAlignment="1" applyProtection="1">
      <alignment horizontal="center" vertical="center"/>
      <protection hidden="1"/>
    </xf>
    <xf numFmtId="175" fontId="22" fillId="0" borderId="38" xfId="0" applyNumberFormat="1" applyFont="1" applyFill="1" applyBorder="1" applyAlignment="1" applyProtection="1">
      <alignment horizontal="center" vertical="center"/>
      <protection hidden="1"/>
    </xf>
    <xf numFmtId="175" fontId="0" fillId="0" borderId="38" xfId="0" applyNumberFormat="1" applyBorder="1" applyAlignment="1" applyProtection="1">
      <alignment horizontal="center" vertical="center"/>
      <protection hidden="1"/>
    </xf>
    <xf numFmtId="171" fontId="22" fillId="0" borderId="0" xfId="0" applyNumberFormat="1" applyFont="1" applyFill="1" applyBorder="1" applyAlignment="1" applyProtection="1">
      <alignment horizontal="left" vertical="center" indent="1"/>
      <protection hidden="1"/>
    </xf>
    <xf numFmtId="171" fontId="22" fillId="0" borderId="0" xfId="0" applyNumberFormat="1" applyFont="1" applyBorder="1" applyAlignment="1">
      <alignment horizontal="left" vertical="center" indent="1"/>
    </xf>
    <xf numFmtId="2" fontId="22" fillId="0" borderId="0" xfId="0" applyNumberFormat="1" applyFont="1" applyFill="1" applyBorder="1" applyAlignment="1" applyProtection="1">
      <alignment horizontal="left" vertical="center" indent="1"/>
      <protection hidden="1"/>
    </xf>
    <xf numFmtId="2" fontId="22" fillId="0" borderId="0" xfId="0" applyNumberFormat="1" applyFont="1" applyBorder="1" applyAlignment="1">
      <alignment horizontal="left" vertical="center" indent="1"/>
    </xf>
    <xf numFmtId="179" fontId="22" fillId="0" borderId="0" xfId="0" applyNumberFormat="1" applyFont="1" applyFill="1" applyBorder="1" applyAlignment="1" applyProtection="1">
      <alignment horizontal="left" vertical="center" indent="1"/>
      <protection hidden="1"/>
    </xf>
    <xf numFmtId="179" fontId="22" fillId="0" borderId="0" xfId="0" applyNumberFormat="1" applyFont="1" applyBorder="1" applyAlignment="1">
      <alignment horizontal="left" vertical="center" indent="1"/>
    </xf>
    <xf numFmtId="178" fontId="22" fillId="0" borderId="0" xfId="0" applyNumberFormat="1" applyFont="1" applyFill="1" applyBorder="1" applyAlignment="1" applyProtection="1">
      <alignment horizontal="left" vertical="center" indent="1"/>
      <protection hidden="1"/>
    </xf>
    <xf numFmtId="182" fontId="22" fillId="0" borderId="0" xfId="0" applyNumberFormat="1" applyFont="1" applyFill="1" applyBorder="1" applyAlignment="1" applyProtection="1">
      <alignment horizontal="left" vertical="center" indent="1"/>
      <protection hidden="1"/>
    </xf>
    <xf numFmtId="174" fontId="22" fillId="0" borderId="0" xfId="0" applyNumberFormat="1" applyFont="1" applyFill="1" applyBorder="1" applyAlignment="1" applyProtection="1">
      <alignment horizontal="left" vertical="center" indent="1"/>
      <protection hidden="1"/>
    </xf>
    <xf numFmtId="174" fontId="22" fillId="0" borderId="0" xfId="0" applyNumberFormat="1" applyFont="1" applyBorder="1" applyAlignment="1">
      <alignment horizontal="left" vertical="center" indent="1"/>
    </xf>
    <xf numFmtId="166" fontId="22" fillId="0" borderId="0" xfId="0" applyNumberFormat="1" applyFont="1" applyFill="1" applyBorder="1" applyAlignment="1" applyProtection="1">
      <alignment horizontal="left" vertical="center" indent="1"/>
      <protection hidden="1"/>
    </xf>
    <xf numFmtId="166" fontId="22" fillId="0" borderId="0" xfId="0" applyNumberFormat="1" applyFont="1" applyBorder="1" applyAlignment="1">
      <alignment horizontal="left" vertical="center" indent="1"/>
    </xf>
    <xf numFmtId="0" fontId="11" fillId="0" borderId="39" xfId="0" applyFont="1" applyFill="1" applyBorder="1" applyAlignment="1" applyProtection="1">
      <alignment horizontal="left" vertical="center" indent="1"/>
      <protection hidden="1"/>
    </xf>
    <xf numFmtId="0" fontId="0" fillId="0" borderId="47" xfId="0" applyFont="1" applyBorder="1" applyAlignment="1" applyProtection="1">
      <alignment horizontal="left" vertical="center" indent="1"/>
      <protection hidden="1"/>
    </xf>
    <xf numFmtId="0" fontId="0" fillId="0" borderId="47" xfId="0" applyFont="1" applyBorder="1" applyAlignment="1">
      <alignment horizontal="left" vertical="center" indent="1"/>
    </xf>
    <xf numFmtId="0" fontId="0" fillId="0" borderId="48" xfId="0" applyFont="1" applyBorder="1" applyAlignment="1">
      <alignment horizontal="left" vertical="center" indent="1"/>
    </xf>
    <xf numFmtId="180" fontId="22" fillId="6" borderId="39" xfId="0" applyNumberFormat="1" applyFont="1" applyFill="1" applyBorder="1" applyAlignment="1" applyProtection="1">
      <alignment horizontal="left" vertical="center" indent="1"/>
      <protection locked="0"/>
    </xf>
    <xf numFmtId="180" fontId="22" fillId="6" borderId="47" xfId="0" applyNumberFormat="1" applyFont="1" applyFill="1" applyBorder="1" applyAlignment="1" applyProtection="1">
      <alignment horizontal="left" vertical="center" indent="1"/>
      <protection locked="0"/>
    </xf>
    <xf numFmtId="180" fontId="22" fillId="6" borderId="48" xfId="0" applyNumberFormat="1" applyFont="1" applyFill="1" applyBorder="1" applyAlignment="1" applyProtection="1">
      <alignment horizontal="left" vertical="center" indent="1"/>
      <protection locked="0"/>
    </xf>
    <xf numFmtId="178" fontId="12" fillId="0" borderId="0" xfId="0" applyNumberFormat="1" applyFont="1" applyFill="1" applyBorder="1" applyAlignment="1" applyProtection="1">
      <alignment horizontal="left" vertical="center" indent="1"/>
      <protection hidden="1"/>
    </xf>
    <xf numFmtId="178" fontId="12" fillId="0" borderId="0" xfId="0" applyNumberFormat="1" applyFont="1" applyBorder="1" applyAlignment="1">
      <alignment horizontal="left" vertical="center" indent="1"/>
    </xf>
    <xf numFmtId="1" fontId="22" fillId="0" borderId="0" xfId="0" applyNumberFormat="1" applyFont="1" applyFill="1" applyBorder="1" applyAlignment="1" applyProtection="1">
      <alignment horizontal="left" vertical="center" indent="1"/>
      <protection hidden="1"/>
    </xf>
    <xf numFmtId="166" fontId="30" fillId="0" borderId="39" xfId="0" applyNumberFormat="1" applyFont="1" applyBorder="1" applyAlignment="1" applyProtection="1">
      <alignment horizontal="right" vertical="center"/>
      <protection hidden="1"/>
    </xf>
    <xf numFmtId="166" fontId="0" fillId="0" borderId="47" xfId="0" applyNumberFormat="1" applyBorder="1" applyAlignment="1" applyProtection="1">
      <alignment horizontal="right" vertical="center"/>
      <protection hidden="1"/>
    </xf>
    <xf numFmtId="0" fontId="12" fillId="0" borderId="47" xfId="0" applyFont="1" applyBorder="1" applyAlignment="1" applyProtection="1">
      <alignment horizontal="left" vertical="center"/>
      <protection hidden="1"/>
    </xf>
    <xf numFmtId="0" fontId="0" fillId="0" borderId="48" xfId="0" applyBorder="1" applyAlignment="1">
      <alignment horizontal="left" vertical="center"/>
    </xf>
    <xf numFmtId="168" fontId="30" fillId="0" borderId="39" xfId="0" applyNumberFormat="1" applyFont="1" applyBorder="1" applyAlignment="1" applyProtection="1">
      <alignment horizontal="right" vertical="center"/>
      <protection hidden="1"/>
    </xf>
    <xf numFmtId="168" fontId="0" fillId="0" borderId="47" xfId="0" applyNumberFormat="1" applyBorder="1" applyAlignment="1" applyProtection="1">
      <alignment horizontal="right" vertical="center"/>
      <protection hidden="1"/>
    </xf>
    <xf numFmtId="0" fontId="6" fillId="0" borderId="38" xfId="0" applyFont="1" applyBorder="1" applyAlignment="1" applyProtection="1">
      <alignment horizontal="left" vertical="center" indent="1"/>
      <protection hidden="1"/>
    </xf>
    <xf numFmtId="0" fontId="0" fillId="0" borderId="38" xfId="0" applyBorder="1" applyAlignment="1">
      <alignment horizontal="left" vertical="center" indent="1"/>
    </xf>
    <xf numFmtId="1" fontId="30" fillId="0" borderId="39" xfId="0" applyNumberFormat="1" applyFont="1" applyBorder="1" applyAlignment="1" applyProtection="1">
      <alignment horizontal="right" vertical="center"/>
      <protection hidden="1"/>
    </xf>
    <xf numFmtId="1" fontId="0" fillId="0" borderId="47" xfId="0" applyNumberFormat="1" applyBorder="1" applyAlignment="1" applyProtection="1">
      <alignment horizontal="right" vertical="center"/>
      <protection hidden="1"/>
    </xf>
    <xf numFmtId="0" fontId="12" fillId="0" borderId="38" xfId="0" applyFont="1" applyBorder="1" applyAlignment="1" applyProtection="1">
      <alignment horizontal="left" vertical="center" indent="1"/>
      <protection hidden="1"/>
    </xf>
    <xf numFmtId="0" fontId="11" fillId="0" borderId="38" xfId="0" applyFont="1" applyBorder="1" applyAlignment="1" applyProtection="1">
      <alignment horizontal="left" vertical="center" indent="1"/>
      <protection hidden="1"/>
    </xf>
    <xf numFmtId="0" fontId="11" fillId="0" borderId="47" xfId="0" applyFont="1" applyBorder="1" applyAlignment="1" applyProtection="1">
      <alignment horizontal="left" vertical="center"/>
      <protection hidden="1"/>
    </xf>
    <xf numFmtId="0" fontId="19" fillId="0" borderId="39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7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1" fontId="23" fillId="0" borderId="5" xfId="0" applyNumberFormat="1" applyFont="1" applyFill="1" applyBorder="1" applyAlignment="1" applyProtection="1">
      <alignment horizontal="center" vertical="center"/>
      <protection hidden="1"/>
    </xf>
    <xf numFmtId="1" fontId="0" fillId="0" borderId="5" xfId="0" applyNumberFormat="1" applyFill="1" applyBorder="1" applyAlignment="1" applyProtection="1">
      <alignment horizontal="center" vertical="center"/>
      <protection hidden="1"/>
    </xf>
    <xf numFmtId="2" fontId="30" fillId="0" borderId="39" xfId="0" applyNumberFormat="1" applyFont="1" applyBorder="1" applyAlignment="1" applyProtection="1">
      <alignment horizontal="right" vertical="center"/>
      <protection hidden="1"/>
    </xf>
    <xf numFmtId="2" fontId="0" fillId="0" borderId="47" xfId="0" applyNumberFormat="1" applyBorder="1" applyAlignment="1" applyProtection="1">
      <alignment horizontal="right" vertical="center"/>
      <protection hidden="1"/>
    </xf>
    <xf numFmtId="0" fontId="19" fillId="0" borderId="5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>
      <alignment horizontal="center" vertical="center"/>
    </xf>
    <xf numFmtId="0" fontId="23" fillId="0" borderId="5" xfId="0" applyNumberFormat="1" applyFont="1" applyFill="1" applyBorder="1" applyAlignment="1" applyProtection="1">
      <alignment horizontal="center" vertical="center"/>
      <protection hidden="1"/>
    </xf>
    <xf numFmtId="0" fontId="30" fillId="0" borderId="2" xfId="0" applyFont="1" applyBorder="1" applyAlignment="1" applyProtection="1">
      <alignment vertical="center"/>
      <protection hidden="1"/>
    </xf>
    <xf numFmtId="0" fontId="30" fillId="0" borderId="6" xfId="0" applyFont="1" applyBorder="1" applyAlignment="1" applyProtection="1">
      <alignment vertical="center"/>
      <protection hidden="1"/>
    </xf>
    <xf numFmtId="0" fontId="30" fillId="0" borderId="1" xfId="0" applyFont="1" applyBorder="1" applyAlignment="1" applyProtection="1">
      <alignment vertical="center"/>
      <protection hidden="1"/>
    </xf>
    <xf numFmtId="0" fontId="30" fillId="0" borderId="2" xfId="0" applyFont="1" applyBorder="1" applyAlignment="1" applyProtection="1">
      <alignment horizontal="center" vertical="center"/>
      <protection hidden="1"/>
    </xf>
    <xf numFmtId="0" fontId="30" fillId="0" borderId="6" xfId="0" applyFont="1" applyBorder="1" applyAlignment="1" applyProtection="1">
      <alignment horizontal="center" vertical="center"/>
      <protection hidden="1"/>
    </xf>
    <xf numFmtId="0" fontId="30" fillId="0" borderId="5" xfId="0" applyFont="1" applyBorder="1" applyAlignment="1" applyProtection="1">
      <alignment horizontal="center" vertical="center"/>
      <protection hidden="1"/>
    </xf>
    <xf numFmtId="0" fontId="31" fillId="0" borderId="2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vertical="center"/>
      <protection hidden="1"/>
    </xf>
    <xf numFmtId="0" fontId="30" fillId="3" borderId="7" xfId="0" applyFont="1" applyFill="1" applyBorder="1" applyAlignment="1" applyProtection="1">
      <alignment horizontal="center" vertical="center"/>
      <protection hidden="1"/>
    </xf>
    <xf numFmtId="0" fontId="30" fillId="3" borderId="8" xfId="0" applyFont="1" applyFill="1" applyBorder="1" applyAlignment="1" applyProtection="1">
      <alignment horizontal="center" vertical="center"/>
      <protection hidden="1"/>
    </xf>
    <xf numFmtId="0" fontId="30" fillId="3" borderId="9" xfId="0" applyFont="1" applyFill="1" applyBorder="1" applyAlignment="1" applyProtection="1">
      <alignment horizontal="center" vertical="center"/>
      <protection hidden="1"/>
    </xf>
    <xf numFmtId="164" fontId="30" fillId="0" borderId="5" xfId="0" applyNumberFormat="1" applyFont="1" applyBorder="1" applyAlignment="1" applyProtection="1">
      <alignment horizontal="left" vertical="center" indent="1"/>
      <protection hidden="1"/>
    </xf>
    <xf numFmtId="164" fontId="30" fillId="0" borderId="5" xfId="0" applyNumberFormat="1" applyFont="1" applyBorder="1" applyAlignment="1" applyProtection="1">
      <alignment horizontal="center" vertical="center"/>
      <protection hidden="1"/>
    </xf>
    <xf numFmtId="0" fontId="30" fillId="0" borderId="5" xfId="0" applyFont="1" applyBorder="1" applyAlignment="1" applyProtection="1">
      <alignment horizontal="left" vertical="center" indent="1"/>
      <protection hidden="1"/>
    </xf>
    <xf numFmtId="0" fontId="23" fillId="0" borderId="45" xfId="0" applyNumberFormat="1" applyFont="1" applyFill="1" applyBorder="1" applyAlignment="1" applyProtection="1">
      <alignment horizontal="left" vertical="center" wrapText="1" indent="1"/>
      <protection hidden="1"/>
    </xf>
    <xf numFmtId="0" fontId="0" fillId="0" borderId="36" xfId="0" applyBorder="1" applyAlignment="1">
      <alignment horizontal="left" vertical="center" wrapText="1" indent="1"/>
    </xf>
    <xf numFmtId="0" fontId="11" fillId="0" borderId="2" xfId="0" applyFont="1" applyBorder="1" applyAlignment="1" applyProtection="1">
      <alignment vertical="center"/>
      <protection hidden="1"/>
    </xf>
    <xf numFmtId="0" fontId="20" fillId="2" borderId="1" xfId="0" applyNumberFormat="1" applyFont="1" applyFill="1" applyBorder="1" applyAlignment="1" applyProtection="1">
      <alignment horizontal="left" vertical="center" indent="1"/>
      <protection locked="0" hidden="1"/>
    </xf>
    <xf numFmtId="0" fontId="0" fillId="2" borderId="2" xfId="0" applyNumberFormat="1" applyFill="1" applyBorder="1" applyAlignment="1" applyProtection="1">
      <alignment horizontal="left" vertical="center" indent="1"/>
      <protection locked="0" hidden="1"/>
    </xf>
    <xf numFmtId="0" fontId="0" fillId="0" borderId="6" xfId="0" applyNumberFormat="1" applyBorder="1" applyAlignment="1" applyProtection="1">
      <alignment horizontal="left" vertical="center" indent="1"/>
      <protection locked="0" hidden="1"/>
    </xf>
    <xf numFmtId="0" fontId="22" fillId="0" borderId="38" xfId="0" applyFont="1" applyFill="1" applyBorder="1" applyAlignment="1" applyProtection="1">
      <alignment horizontal="left" vertical="center" indent="1"/>
      <protection hidden="1"/>
    </xf>
    <xf numFmtId="0" fontId="33" fillId="0" borderId="0" xfId="0" applyNumberFormat="1" applyFont="1" applyFill="1" applyBorder="1" applyAlignment="1" applyProtection="1">
      <alignment horizontal="center" vertical="center"/>
      <protection hidden="1"/>
    </xf>
    <xf numFmtId="0" fontId="36" fillId="0" borderId="0" xfId="0" applyFont="1" applyBorder="1" applyAlignment="1">
      <alignment horizontal="center" vertical="center"/>
    </xf>
    <xf numFmtId="168" fontId="30" fillId="0" borderId="0" xfId="0" applyNumberFormat="1" applyFont="1" applyFill="1" applyBorder="1" applyAlignment="1" applyProtection="1">
      <alignment horizontal="left" vertical="center" indent="1"/>
      <protection hidden="1"/>
    </xf>
    <xf numFmtId="168" fontId="0" fillId="0" borderId="0" xfId="0" applyNumberFormat="1" applyBorder="1" applyAlignment="1" applyProtection="1">
      <alignment horizontal="left" vertical="center" indent="1"/>
      <protection hidden="1"/>
    </xf>
    <xf numFmtId="2" fontId="30" fillId="0" borderId="0" xfId="0" applyNumberFormat="1" applyFont="1" applyBorder="1" applyAlignment="1" applyProtection="1">
      <alignment horizontal="center" vertical="center"/>
      <protection hidden="1"/>
    </xf>
    <xf numFmtId="2" fontId="0" fillId="0" borderId="0" xfId="0" applyNumberFormat="1" applyBorder="1" applyAlignment="1">
      <alignment horizontal="center" vertical="center"/>
    </xf>
    <xf numFmtId="177" fontId="22" fillId="6" borderId="39" xfId="0" applyNumberFormat="1" applyFont="1" applyFill="1" applyBorder="1" applyAlignment="1" applyProtection="1">
      <alignment horizontal="left" vertical="center" indent="1"/>
      <protection locked="0"/>
    </xf>
    <xf numFmtId="177" fontId="22" fillId="6" borderId="47" xfId="0" applyNumberFormat="1" applyFont="1" applyFill="1" applyBorder="1" applyAlignment="1" applyProtection="1">
      <alignment horizontal="left" vertical="center" indent="1"/>
      <protection locked="0"/>
    </xf>
    <xf numFmtId="177" fontId="22" fillId="6" borderId="48" xfId="0" applyNumberFormat="1" applyFont="1" applyFill="1" applyBorder="1" applyAlignment="1" applyProtection="1">
      <alignment horizontal="left" vertical="center" indent="1"/>
      <protection locked="0"/>
    </xf>
    <xf numFmtId="174" fontId="22" fillId="6" borderId="39" xfId="0" applyNumberFormat="1" applyFont="1" applyFill="1" applyBorder="1" applyAlignment="1" applyProtection="1">
      <alignment horizontal="left" vertical="center" indent="1"/>
      <protection locked="0"/>
    </xf>
    <xf numFmtId="174" fontId="22" fillId="6" borderId="47" xfId="0" applyNumberFormat="1" applyFont="1" applyFill="1" applyBorder="1" applyAlignment="1" applyProtection="1">
      <alignment horizontal="left" vertical="center" indent="1"/>
      <protection locked="0"/>
    </xf>
    <xf numFmtId="174" fontId="22" fillId="6" borderId="48" xfId="0" applyNumberFormat="1" applyFont="1" applyFill="1" applyBorder="1" applyAlignment="1" applyProtection="1">
      <alignment horizontal="left" vertical="center" indent="1"/>
      <protection locked="0"/>
    </xf>
    <xf numFmtId="182" fontId="22" fillId="0" borderId="39" xfId="0" applyNumberFormat="1" applyFont="1" applyFill="1" applyBorder="1" applyAlignment="1" applyProtection="1">
      <alignment horizontal="left" vertical="center" indent="1"/>
      <protection hidden="1"/>
    </xf>
    <xf numFmtId="182" fontId="22" fillId="0" borderId="47" xfId="0" applyNumberFormat="1" applyFont="1" applyFill="1" applyBorder="1" applyAlignment="1" applyProtection="1">
      <alignment horizontal="left" vertical="center" indent="1"/>
      <protection hidden="1"/>
    </xf>
    <xf numFmtId="182" fontId="22" fillId="0" borderId="48" xfId="0" applyNumberFormat="1" applyFont="1" applyFill="1" applyBorder="1" applyAlignment="1" applyProtection="1">
      <alignment horizontal="left" vertical="center" indent="1"/>
      <protection hidden="1"/>
    </xf>
    <xf numFmtId="0" fontId="23" fillId="0" borderId="7" xfId="0" applyNumberFormat="1" applyFont="1" applyFill="1" applyBorder="1" applyAlignment="1" applyProtection="1">
      <alignment horizontal="center" vertical="center"/>
      <protection hidden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5" fillId="2" borderId="7" xfId="0" applyNumberFormat="1" applyFont="1" applyFill="1" applyBorder="1" applyAlignment="1" applyProtection="1">
      <alignment horizontal="center" vertical="center"/>
      <protection locked="0" hidden="1"/>
    </xf>
    <xf numFmtId="0" fontId="0" fillId="2" borderId="8" xfId="0" applyFill="1" applyBorder="1" applyAlignment="1" applyProtection="1">
      <alignment horizontal="center" vertical="center"/>
      <protection locked="0" hidden="1"/>
    </xf>
    <xf numFmtId="0" fontId="0" fillId="2" borderId="9" xfId="0" applyFill="1" applyBorder="1" applyAlignment="1" applyProtection="1">
      <alignment horizontal="center" vertical="center"/>
      <protection locked="0" hidden="1"/>
    </xf>
    <xf numFmtId="11" fontId="25" fillId="0" borderId="39" xfId="0" applyNumberFormat="1" applyFont="1" applyFill="1" applyBorder="1" applyAlignment="1" applyProtection="1">
      <alignment horizontal="center" vertical="center" wrapText="1"/>
      <protection hidden="1"/>
    </xf>
    <xf numFmtId="0" fontId="23" fillId="0" borderId="39" xfId="0" applyNumberFormat="1" applyFont="1" applyFill="1" applyBorder="1" applyAlignment="1" applyProtection="1">
      <alignment horizontal="left" vertical="center" indent="1"/>
      <protection hidden="1"/>
    </xf>
    <xf numFmtId="0" fontId="14" fillId="0" borderId="39" xfId="0" applyFont="1" applyBorder="1" applyAlignment="1">
      <alignment horizontal="left" vertical="center" wrapText="1" indent="1"/>
    </xf>
    <xf numFmtId="0" fontId="14" fillId="0" borderId="47" xfId="0" applyFont="1" applyBorder="1" applyAlignment="1">
      <alignment horizontal="left" vertical="center" wrapText="1" indent="1"/>
    </xf>
    <xf numFmtId="0" fontId="14" fillId="0" borderId="48" xfId="0" applyFont="1" applyBorder="1" applyAlignment="1">
      <alignment horizontal="left" vertical="center" wrapText="1" indent="1"/>
    </xf>
    <xf numFmtId="0" fontId="14" fillId="6" borderId="39" xfId="0" applyFont="1" applyFill="1" applyBorder="1" applyAlignment="1" applyProtection="1">
      <alignment horizontal="left" vertical="center" indent="1"/>
      <protection locked="0" hidden="1"/>
    </xf>
    <xf numFmtId="0" fontId="14" fillId="6" borderId="47" xfId="0" applyFont="1" applyFill="1" applyBorder="1" applyAlignment="1" applyProtection="1">
      <alignment horizontal="left" vertical="center" indent="1"/>
      <protection locked="0" hidden="1"/>
    </xf>
    <xf numFmtId="0" fontId="14" fillId="6" borderId="48" xfId="0" applyFont="1" applyFill="1" applyBorder="1" applyAlignment="1" applyProtection="1">
      <alignment horizontal="left" vertical="center" indent="1"/>
      <protection locked="0" hidden="1"/>
    </xf>
    <xf numFmtId="0" fontId="11" fillId="0" borderId="39" xfId="0" applyFont="1" applyFill="1" applyBorder="1" applyAlignment="1" applyProtection="1">
      <alignment vertical="center"/>
      <protection hidden="1"/>
    </xf>
    <xf numFmtId="0" fontId="0" fillId="0" borderId="47" xfId="0" applyBorder="1" applyAlignment="1">
      <alignment vertical="center"/>
    </xf>
    <xf numFmtId="0" fontId="0" fillId="0" borderId="48" xfId="0" applyBorder="1" applyAlignment="1">
      <alignment vertical="center"/>
    </xf>
    <xf numFmtId="2" fontId="12" fillId="0" borderId="38" xfId="0" applyNumberFormat="1" applyFont="1" applyFill="1" applyBorder="1" applyAlignment="1" applyProtection="1">
      <alignment horizontal="center" vertical="center"/>
      <protection hidden="1"/>
    </xf>
    <xf numFmtId="0" fontId="12" fillId="0" borderId="38" xfId="0" applyFont="1" applyFill="1" applyBorder="1" applyAlignment="1" applyProtection="1">
      <alignment horizontal="center" vertical="center"/>
      <protection hidden="1"/>
    </xf>
    <xf numFmtId="0" fontId="12" fillId="0" borderId="39" xfId="0" applyFont="1" applyFill="1" applyBorder="1" applyAlignment="1" applyProtection="1">
      <alignment vertical="center"/>
      <protection hidden="1"/>
    </xf>
    <xf numFmtId="0" fontId="12" fillId="0" borderId="38" xfId="0" applyFont="1" applyBorder="1" applyAlignment="1" applyProtection="1">
      <alignment horizontal="center" vertical="center"/>
      <protection hidden="1"/>
    </xf>
    <xf numFmtId="0" fontId="12" fillId="0" borderId="45" xfId="0" applyFont="1" applyFill="1" applyBorder="1" applyAlignment="1" applyProtection="1">
      <alignment horizontal="left" vertical="center" indent="1"/>
      <protection hidden="1"/>
    </xf>
    <xf numFmtId="0" fontId="0" fillId="0" borderId="36" xfId="0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2" fontId="12" fillId="0" borderId="38" xfId="0" applyNumberFormat="1" applyFont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182" fontId="22" fillId="6" borderId="39" xfId="0" applyNumberFormat="1" applyFont="1" applyFill="1" applyBorder="1" applyAlignment="1" applyProtection="1">
      <alignment horizontal="left" vertical="center" indent="1"/>
      <protection locked="0"/>
    </xf>
    <xf numFmtId="182" fontId="22" fillId="6" borderId="47" xfId="0" applyNumberFormat="1" applyFont="1" applyFill="1" applyBorder="1" applyAlignment="1" applyProtection="1">
      <alignment horizontal="left" vertical="center" indent="1"/>
      <protection locked="0"/>
    </xf>
    <xf numFmtId="182" fontId="22" fillId="6" borderId="48" xfId="0" applyNumberFormat="1" applyFont="1" applyFill="1" applyBorder="1" applyAlignment="1" applyProtection="1">
      <alignment horizontal="left" vertical="center" indent="1"/>
      <protection locked="0"/>
    </xf>
    <xf numFmtId="172" fontId="22" fillId="6" borderId="39" xfId="0" applyNumberFormat="1" applyFont="1" applyFill="1" applyBorder="1" applyAlignment="1" applyProtection="1">
      <alignment horizontal="left" vertical="center" indent="1"/>
      <protection locked="0"/>
    </xf>
    <xf numFmtId="172" fontId="22" fillId="6" borderId="47" xfId="0" applyNumberFormat="1" applyFont="1" applyFill="1" applyBorder="1" applyAlignment="1" applyProtection="1">
      <alignment horizontal="left" vertical="center" indent="1"/>
      <protection locked="0"/>
    </xf>
    <xf numFmtId="172" fontId="22" fillId="6" borderId="48" xfId="0" applyNumberFormat="1" applyFont="1" applyFill="1" applyBorder="1" applyAlignment="1" applyProtection="1">
      <alignment horizontal="left" vertical="center" indent="1"/>
      <protection locked="0"/>
    </xf>
    <xf numFmtId="171" fontId="22" fillId="6" borderId="39" xfId="0" applyNumberFormat="1" applyFont="1" applyFill="1" applyBorder="1" applyAlignment="1" applyProtection="1">
      <alignment horizontal="left" vertical="center" indent="1"/>
      <protection locked="0"/>
    </xf>
    <xf numFmtId="171" fontId="22" fillId="6" borderId="47" xfId="0" applyNumberFormat="1" applyFont="1" applyFill="1" applyBorder="1" applyAlignment="1" applyProtection="1">
      <alignment horizontal="left" vertical="center" indent="1"/>
      <protection locked="0"/>
    </xf>
    <xf numFmtId="171" fontId="22" fillId="6" borderId="48" xfId="0" applyNumberFormat="1" applyFont="1" applyFill="1" applyBorder="1" applyAlignment="1" applyProtection="1">
      <alignment horizontal="left" vertical="center" indent="1"/>
      <protection locked="0"/>
    </xf>
    <xf numFmtId="182" fontId="22" fillId="7" borderId="39" xfId="0" applyNumberFormat="1" applyFont="1" applyFill="1" applyBorder="1" applyAlignment="1" applyProtection="1">
      <alignment horizontal="left" vertical="center" indent="1"/>
      <protection locked="0"/>
    </xf>
    <xf numFmtId="182" fontId="22" fillId="7" borderId="47" xfId="0" applyNumberFormat="1" applyFont="1" applyFill="1" applyBorder="1" applyAlignment="1" applyProtection="1">
      <alignment horizontal="left" vertical="center" indent="1"/>
      <protection locked="0"/>
    </xf>
    <xf numFmtId="182" fontId="22" fillId="7" borderId="48" xfId="0" applyNumberFormat="1" applyFont="1" applyFill="1" applyBorder="1" applyAlignment="1" applyProtection="1">
      <alignment horizontal="left" vertical="center" indent="1"/>
      <protection locked="0"/>
    </xf>
    <xf numFmtId="174" fontId="12" fillId="0" borderId="0" xfId="0" applyNumberFormat="1" applyFont="1" applyFill="1" applyBorder="1" applyAlignment="1" applyProtection="1">
      <alignment horizontal="left" vertical="center" indent="1"/>
      <protection hidden="1"/>
    </xf>
    <xf numFmtId="0" fontId="0" fillId="0" borderId="0" xfId="0" applyBorder="1" applyAlignment="1">
      <alignment horizontal="left" vertical="center" indent="1"/>
    </xf>
    <xf numFmtId="182" fontId="22" fillId="0" borderId="0" xfId="0" applyNumberFormat="1" applyFont="1" applyBorder="1" applyAlignment="1">
      <alignment horizontal="left" vertical="center" indent="1"/>
    </xf>
    <xf numFmtId="181" fontId="22" fillId="0" borderId="0" xfId="0" applyNumberFormat="1" applyFont="1" applyFill="1" applyBorder="1" applyAlignment="1" applyProtection="1">
      <alignment horizontal="left" vertical="center" indent="1"/>
      <protection hidden="1"/>
    </xf>
    <xf numFmtId="181" fontId="22" fillId="0" borderId="0" xfId="0" applyNumberFormat="1" applyFont="1" applyBorder="1" applyAlignment="1">
      <alignment horizontal="left" vertical="center" indent="1"/>
    </xf>
  </cellXfs>
  <cellStyles count="12">
    <cellStyle name="Comma 2" xfId="9" xr:uid="{00000000-0005-0000-0000-000000000000}"/>
    <cellStyle name="Comma0" xfId="1" xr:uid="{00000000-0005-0000-0000-000001000000}"/>
    <cellStyle name="Currency0" xfId="2" xr:uid="{00000000-0005-0000-0000-000002000000}"/>
    <cellStyle name="Date" xfId="3" xr:uid="{00000000-0005-0000-0000-000003000000}"/>
    <cellStyle name="Fixed" xfId="4" xr:uid="{00000000-0005-0000-0000-000004000000}"/>
    <cellStyle name="Normal" xfId="0" builtinId="0"/>
    <cellStyle name="Normal 2" xfId="5" xr:uid="{00000000-0005-0000-0000-000006000000}"/>
    <cellStyle name="Normal 2 2" xfId="7" xr:uid="{00000000-0005-0000-0000-000007000000}"/>
    <cellStyle name="Normal 2 3" xfId="10" xr:uid="{00000000-0005-0000-0000-000008000000}"/>
    <cellStyle name="Normal 3" xfId="6" xr:uid="{00000000-0005-0000-0000-000009000000}"/>
    <cellStyle name="Normal 4" xfId="8" xr:uid="{00000000-0005-0000-0000-00000A000000}"/>
    <cellStyle name="Normal 5" xfId="11" xr:uid="{00000000-0005-0000-0000-00000B000000}"/>
  </cellStyles>
  <dxfs count="5">
    <dxf>
      <font>
        <color theme="5"/>
      </font>
      <fill>
        <patternFill patternType="none">
          <bgColor auto="1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95243</xdr:colOff>
      <xdr:row>46</xdr:row>
      <xdr:rowOff>134215</xdr:rowOff>
    </xdr:from>
    <xdr:ext cx="2200282" cy="580159"/>
    <xdr:sp macro="" textlink="">
      <xdr:nvSpPr>
        <xdr:cNvPr id="9" name="txtMemb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3705218" y="7477990"/>
          <a:ext cx="2200282" cy="580159"/>
        </a:xfrm>
        <a:prstGeom prst="rect">
          <a:avLst/>
        </a:prstGeom>
        <a:noFill/>
        <a:ln w="6350">
          <a:noFill/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Secton: European : IPEO300x49.3</a:t>
          </a:r>
        </a:p>
        <a:p>
          <a:r>
            <a:rPr lang="en-IN" sz="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Material: ASTM : A36</a:t>
          </a:r>
        </a:p>
      </xdr:txBody>
    </xdr:sp>
    <xdr:clientData/>
  </xdr:oneCellAnchor>
  <xdr:twoCellAnchor>
    <xdr:from>
      <xdr:col>11</xdr:col>
      <xdr:colOff>123825</xdr:colOff>
      <xdr:row>41</xdr:row>
      <xdr:rowOff>142875</xdr:rowOff>
    </xdr:from>
    <xdr:to>
      <xdr:col>19</xdr:col>
      <xdr:colOff>133350</xdr:colOff>
      <xdr:row>55</xdr:row>
      <xdr:rowOff>123825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2076450" y="6686550"/>
          <a:ext cx="1457325" cy="2133600"/>
          <a:chOff x="2080780" y="6758420"/>
          <a:chExt cx="1464252" cy="2067791"/>
        </a:xfrm>
      </xdr:grpSpPr>
      <xdr:grpSp>
        <xdr:nvGrpSpPr>
          <xdr:cNvPr id="16" name="Group 34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pSpPr>
            <a:grpSpLocks/>
          </xdr:cNvGrpSpPr>
        </xdr:nvGrpSpPr>
        <xdr:grpSpPr bwMode="auto">
          <a:xfrm>
            <a:off x="2836967" y="6908303"/>
            <a:ext cx="392531" cy="270978"/>
            <a:chOff x="7639050" y="1628775"/>
            <a:chExt cx="390525" cy="276225"/>
          </a:xfrm>
        </xdr:grpSpPr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 txBox="1"/>
          </xdr:nvSpPr>
          <xdr:spPr>
            <a:xfrm>
              <a:off x="7639050" y="1628775"/>
              <a:ext cx="3333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8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k</a:t>
              </a:r>
            </a:p>
          </xdr:txBody>
        </xdr: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 txBox="1"/>
          </xdr:nvSpPr>
          <xdr:spPr>
            <a:xfrm>
              <a:off x="7696200" y="1676400"/>
              <a:ext cx="3333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6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1</a:t>
              </a:r>
            </a:p>
          </xdr:txBody>
        </xdr:sp>
      </xdr:grpSp>
      <xdr:sp macro="" textlink="">
        <xdr:nvSpPr>
          <xdr:cNvPr id="32" name="Line 9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>
            <a:spLocks noChangeShapeType="1"/>
          </xdr:cNvSpPr>
        </xdr:nvSpPr>
        <xdr:spPr bwMode="auto">
          <a:xfrm>
            <a:off x="2358947" y="8577559"/>
            <a:ext cx="1066061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stealth" w="sm" len="sm"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" name="Line 10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147112" y="7309409"/>
            <a:ext cx="173243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" name="Line 11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358947" y="8437848"/>
            <a:ext cx="0" cy="23566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Line 12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>
            <a:spLocks noChangeShapeType="1"/>
          </xdr:cNvSpPr>
        </xdr:nvSpPr>
        <xdr:spPr bwMode="auto">
          <a:xfrm>
            <a:off x="2703355" y="8148834"/>
            <a:ext cx="163618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" name="Line 13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914058" y="8148834"/>
            <a:ext cx="26278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" name="Line 14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ShapeType="1"/>
          </xdr:cNvSpPr>
        </xdr:nvSpPr>
        <xdr:spPr bwMode="auto">
          <a:xfrm>
            <a:off x="3243179" y="7155011"/>
            <a:ext cx="0" cy="154397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" name="Line 15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43179" y="7379033"/>
            <a:ext cx="0" cy="246131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pSpPr/>
        </xdr:nvGrpSpPr>
        <xdr:grpSpPr>
          <a:xfrm>
            <a:off x="2358947" y="7309409"/>
            <a:ext cx="1066061" cy="1079598"/>
            <a:chOff x="2373841" y="7421631"/>
            <a:chExt cx="1072295" cy="1087045"/>
          </a:xfrm>
          <a:solidFill>
            <a:schemeClr val="tx2">
              <a:lumMod val="75000"/>
            </a:schemeClr>
          </a:solidFill>
        </xdr:grpSpPr>
        <xdr:sp macro="" textlink="">
          <xdr:nvSpPr>
            <xdr:cNvPr id="30" name="Rectangle 7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83946" y="7469605"/>
              <a:ext cx="48123" cy="996177"/>
            </a:xfrm>
            <a:prstGeom prst="rect">
              <a:avLst/>
            </a:prstGeom>
            <a:grpFill/>
            <a:ln w="6350">
              <a:solidFill>
                <a:schemeClr val="tx2">
                  <a:lumMod val="75000"/>
                </a:schemeClr>
              </a:solidFill>
              <a:miter lim="800000"/>
              <a:headEnd/>
              <a:tailEnd/>
            </a:ln>
          </xdr:spPr>
        </xdr:sp>
        <xdr:sp macro="" textlink="">
          <xdr:nvSpPr>
            <xdr:cNvPr id="29" name="Rectangle 6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73841" y="7421631"/>
              <a:ext cx="1072295" cy="67164"/>
            </a:xfrm>
            <a:prstGeom prst="rect">
              <a:avLst/>
            </a:prstGeom>
            <a:grpFill/>
            <a:ln w="6350">
              <a:solidFill>
                <a:schemeClr val="tx2">
                  <a:lumMod val="75000"/>
                </a:schemeClr>
              </a:solidFill>
              <a:miter lim="800000"/>
              <a:headEnd/>
              <a:tailEnd/>
            </a:ln>
          </xdr:spPr>
        </xdr:sp>
        <xdr:sp macro="" textlink="">
          <xdr:nvSpPr>
            <xdr:cNvPr id="31" name="Rectangle 8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73841" y="8446592"/>
              <a:ext cx="1072295" cy="62084"/>
            </a:xfrm>
            <a:prstGeom prst="rect">
              <a:avLst/>
            </a:prstGeom>
            <a:grpFill/>
            <a:ln w="6350">
              <a:solidFill>
                <a:schemeClr val="tx2">
                  <a:lumMod val="75000"/>
                </a:schemeClr>
              </a:solidFill>
              <a:miter lim="800000"/>
              <a:headEnd/>
              <a:tailEnd/>
            </a:ln>
          </xdr:spPr>
        </xdr:sp>
        <xdr:sp macro="" textlink="">
          <xdr:nvSpPr>
            <xdr:cNvPr id="39" name="AutoShape 16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32069" y="8398618"/>
              <a:ext cx="48123" cy="47975"/>
            </a:xfrm>
            <a:prstGeom prst="rtTriangle">
              <a:avLst/>
            </a:prstGeom>
            <a:grpFill/>
            <a:ln w="6350">
              <a:solidFill>
                <a:schemeClr val="tx2">
                  <a:lumMod val="75000"/>
                </a:schemeClr>
              </a:solidFill>
              <a:miter lim="800000"/>
              <a:headEnd/>
              <a:tailEnd/>
            </a:ln>
          </xdr:spPr>
        </xdr:sp>
        <xdr:sp macro="" textlink="">
          <xdr:nvSpPr>
            <xdr:cNvPr id="40" name="AutoShape 17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2932143" y="7488721"/>
              <a:ext cx="47975" cy="48123"/>
            </a:xfrm>
            <a:prstGeom prst="rtTriangle">
              <a:avLst/>
            </a:prstGeom>
            <a:grpFill/>
            <a:ln w="6350">
              <a:solidFill>
                <a:schemeClr val="tx2">
                  <a:lumMod val="75000"/>
                </a:schemeClr>
              </a:solidFill>
              <a:miter lim="800000"/>
              <a:headEnd/>
              <a:tailEnd/>
            </a:ln>
          </xdr:spPr>
        </xdr:sp>
        <xdr:sp macro="" textlink="">
          <xdr:nvSpPr>
            <xdr:cNvPr id="41" name="Auto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>
              <a:spLocks noChangeArrowheads="1"/>
            </xdr:cNvSpPr>
          </xdr:nvSpPr>
          <xdr:spPr bwMode="auto">
            <a:xfrm rot="16200000">
              <a:off x="2835897" y="8398544"/>
              <a:ext cx="47975" cy="48123"/>
            </a:xfrm>
            <a:prstGeom prst="rtTriangle">
              <a:avLst/>
            </a:prstGeom>
            <a:grpFill/>
            <a:ln w="6350">
              <a:solidFill>
                <a:schemeClr val="tx2">
                  <a:lumMod val="75000"/>
                </a:schemeClr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42" name="AutoShape 19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835822" y="7488795"/>
              <a:ext cx="48123" cy="47975"/>
            </a:xfrm>
            <a:prstGeom prst="rtTriangle">
              <a:avLst/>
            </a:prstGeom>
            <a:grpFill/>
            <a:ln w="6350">
              <a:solidFill>
                <a:schemeClr val="tx2">
                  <a:lumMod val="75000"/>
                </a:schemeClr>
              </a:solidFill>
              <a:miter lim="800000"/>
              <a:headEnd/>
              <a:tailEnd/>
            </a:ln>
            <a:effectLst/>
          </xdr:spPr>
        </xdr:sp>
      </xdr:grpSp>
      <xdr:sp macro="" textlink="">
        <xdr:nvSpPr>
          <xdr:cNvPr id="43" name="Line 20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147112" y="8389008"/>
            <a:ext cx="173243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" name="Line 21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425008" y="8437848"/>
            <a:ext cx="0" cy="23566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" name="Line 22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2703355" y="7844266"/>
            <a:ext cx="55907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" name="Line 23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894808" y="6981425"/>
            <a:ext cx="0" cy="29468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" name="Line 65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2252983" y="7309409"/>
            <a:ext cx="0" cy="1079599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stealth" w="sm" len="sm"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31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2511902" y="7425414"/>
            <a:ext cx="28769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Line 132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>
            <a:spLocks noChangeShapeType="1"/>
          </xdr:cNvSpPr>
        </xdr:nvSpPr>
        <xdr:spPr bwMode="auto">
          <a:xfrm>
            <a:off x="2617773" y="7067779"/>
            <a:ext cx="0" cy="241629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" name="Line 133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>
            <a:spLocks noChangeShapeType="1"/>
          </xdr:cNvSpPr>
        </xdr:nvSpPr>
        <xdr:spPr bwMode="auto">
          <a:xfrm>
            <a:off x="2981430" y="7102522"/>
            <a:ext cx="0" cy="183181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" name="Line 134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>
            <a:spLocks noChangeShapeType="1"/>
          </xdr:cNvSpPr>
        </xdr:nvSpPr>
        <xdr:spPr bwMode="auto">
          <a:xfrm>
            <a:off x="2732229" y="7145416"/>
            <a:ext cx="16257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" name="Line 135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981430" y="7145416"/>
            <a:ext cx="16257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" name="Line 136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2503316" y="8278949"/>
            <a:ext cx="286660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137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>
            <a:spLocks noChangeShapeType="1"/>
          </xdr:cNvSpPr>
        </xdr:nvSpPr>
        <xdr:spPr bwMode="auto">
          <a:xfrm>
            <a:off x="2627397" y="7425414"/>
            <a:ext cx="0" cy="853535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stealth" w="sm" len="sm"/>
            <a:tailEnd type="stealth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 bwMode="auto">
          <a:xfrm>
            <a:off x="3210249" y="7725741"/>
            <a:ext cx="334783" cy="2266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X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 bwMode="auto">
          <a:xfrm>
            <a:off x="2759970" y="6758420"/>
            <a:ext cx="334783" cy="2230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Y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 bwMode="auto">
          <a:xfrm>
            <a:off x="2080780" y="7744930"/>
            <a:ext cx="334782" cy="2266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 bwMode="auto">
          <a:xfrm>
            <a:off x="2434811" y="7725741"/>
            <a:ext cx="334783" cy="2266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 bwMode="auto">
          <a:xfrm>
            <a:off x="2492559" y="6889113"/>
            <a:ext cx="334783" cy="2230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k</a:t>
            </a:r>
          </a:p>
        </xdr:txBody>
      </xdr:sp>
      <xdr:grpSp>
        <xdr:nvGrpSpPr>
          <xdr:cNvPr id="18" name="Group 3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pSpPr>
            <a:grpSpLocks/>
          </xdr:cNvGrpSpPr>
        </xdr:nvGrpSpPr>
        <xdr:grpSpPr bwMode="auto">
          <a:xfrm>
            <a:off x="3142876" y="6937087"/>
            <a:ext cx="373282" cy="280573"/>
            <a:chOff x="7639050" y="1628775"/>
            <a:chExt cx="371475" cy="285750"/>
          </a:xfrm>
        </xdr:grpSpPr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 txBox="1"/>
          </xdr:nvSpPr>
          <xdr:spPr>
            <a:xfrm>
              <a:off x="7639050" y="1628775"/>
              <a:ext cx="3333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8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t</a:t>
              </a: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 txBox="1"/>
          </xdr:nvSpPr>
          <xdr:spPr>
            <a:xfrm>
              <a:off x="7677150" y="1685925"/>
              <a:ext cx="3333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6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f</a:t>
              </a:r>
            </a:p>
          </xdr:txBody>
        </xdr:sp>
      </xdr:grpSp>
      <xdr:grpSp>
        <xdr:nvGrpSpPr>
          <xdr:cNvPr id="19" name="Group 42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pSpPr>
            <a:grpSpLocks/>
          </xdr:cNvGrpSpPr>
        </xdr:nvGrpSpPr>
        <xdr:grpSpPr bwMode="auto">
          <a:xfrm>
            <a:off x="2731096" y="8541135"/>
            <a:ext cx="402156" cy="285076"/>
            <a:chOff x="7639050" y="1628775"/>
            <a:chExt cx="400050" cy="285750"/>
          </a:xfrm>
        </xdr:grpSpPr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 txBox="1"/>
          </xdr:nvSpPr>
          <xdr:spPr>
            <a:xfrm>
              <a:off x="7639050" y="1628775"/>
              <a:ext cx="3333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8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b</a:t>
              </a:r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 txBox="1"/>
          </xdr:nvSpPr>
          <xdr:spPr>
            <a:xfrm>
              <a:off x="7705725" y="1685925"/>
              <a:ext cx="3333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6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f</a:t>
              </a:r>
            </a:p>
          </xdr:txBody>
        </xdr:sp>
      </xdr:grpSp>
      <xdr:grpSp>
        <xdr:nvGrpSpPr>
          <xdr:cNvPr id="20" name="Group 45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pSpPr>
            <a:grpSpLocks/>
          </xdr:cNvGrpSpPr>
        </xdr:nvGrpSpPr>
        <xdr:grpSpPr bwMode="auto">
          <a:xfrm>
            <a:off x="3133252" y="8030008"/>
            <a:ext cx="382906" cy="279983"/>
            <a:chOff x="7639050" y="1628775"/>
            <a:chExt cx="381000" cy="276225"/>
          </a:xfrm>
        </xdr:grpSpPr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7639050" y="1628775"/>
              <a:ext cx="3333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8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t</a:t>
              </a:r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 txBox="1"/>
          </xdr:nvSpPr>
          <xdr:spPr>
            <a:xfrm>
              <a:off x="7686675" y="1676400"/>
              <a:ext cx="3333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6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w</a:t>
              </a:r>
            </a:p>
          </xdr:txBody>
        </xdr:sp>
      </xdr:grpSp>
    </xdr:grpSp>
    <xdr:clientData/>
  </xdr:twoCellAnchor>
  <xdr:twoCellAnchor>
    <xdr:from>
      <xdr:col>19</xdr:col>
      <xdr:colOff>12988</xdr:colOff>
      <xdr:row>45</xdr:row>
      <xdr:rowOff>82261</xdr:rowOff>
    </xdr:from>
    <xdr:to>
      <xdr:col>20</xdr:col>
      <xdr:colOff>155863</xdr:colOff>
      <xdr:row>47</xdr:row>
      <xdr:rowOff>77932</xdr:rowOff>
    </xdr:to>
    <xdr:cxnSp macro="">
      <xdr:nvCxnSpPr>
        <xdr:cNvPr id="5" name="Elb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424670" y="7338579"/>
          <a:ext cx="350693" cy="290080"/>
        </a:xfrm>
        <a:prstGeom prst="bentConnector3">
          <a:avLst>
            <a:gd name="adj1" fmla="val 50000"/>
          </a:avLst>
        </a:prstGeom>
        <a:ln w="6350">
          <a:solidFill>
            <a:schemeClr val="tx1"/>
          </a:solidFill>
          <a:headEnd type="stealth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19050</xdr:rowOff>
        </xdr:from>
        <xdr:to>
          <xdr:col>8</xdr:col>
          <xdr:colOff>161925</xdr:colOff>
          <xdr:row>40</xdr:row>
          <xdr:rowOff>95250</xdr:rowOff>
        </xdr:to>
        <xdr:sp macro="" textlink="">
          <xdr:nvSpPr>
            <xdr:cNvPr id="1025" name="btnEconomicalSec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VersionHistory"/>
  <dimension ref="A1:BF64"/>
  <sheetViews>
    <sheetView showGridLines="0" zoomScaleNormal="100" workbookViewId="0">
      <selection activeCell="S5" sqref="S5"/>
    </sheetView>
  </sheetViews>
  <sheetFormatPr defaultColWidth="2.7109375" defaultRowHeight="10.5" x14ac:dyDescent="0.2"/>
  <cols>
    <col min="1" max="1" width="1.7109375" style="83" customWidth="1"/>
    <col min="2" max="9" width="2.7109375" style="83"/>
    <col min="10" max="10" width="3.140625" style="83" bestFit="1" customWidth="1"/>
    <col min="11" max="14" width="2.7109375" style="83"/>
    <col min="15" max="15" width="2.7109375" style="83" customWidth="1"/>
    <col min="16" max="17" width="2.7109375" style="83"/>
    <col min="18" max="18" width="3.28515625" style="83" customWidth="1"/>
    <col min="19" max="19" width="2.7109375" style="83"/>
    <col min="20" max="20" width="3.140625" style="83" bestFit="1" customWidth="1"/>
    <col min="21" max="35" width="2.7109375" style="83"/>
    <col min="36" max="36" width="5.42578125" style="83" bestFit="1" customWidth="1"/>
    <col min="37" max="47" width="2.7109375" style="83"/>
    <col min="48" max="48" width="8.5703125" style="83" customWidth="1"/>
    <col min="49" max="49" width="6.5703125" style="83" bestFit="1" customWidth="1"/>
    <col min="50" max="50" width="47.140625" style="83" bestFit="1" customWidth="1"/>
    <col min="51" max="51" width="6.5703125" style="83" bestFit="1" customWidth="1"/>
    <col min="52" max="52" width="9.7109375" style="83" bestFit="1" customWidth="1"/>
    <col min="53" max="53" width="8" style="83" bestFit="1" customWidth="1"/>
    <col min="54" max="54" width="7.140625" style="83" bestFit="1" customWidth="1"/>
    <col min="55" max="56" width="8.140625" style="83" bestFit="1" customWidth="1"/>
    <col min="57" max="57" width="8" style="83" bestFit="1" customWidth="1"/>
    <col min="58" max="16384" width="2.7109375" style="83"/>
  </cols>
  <sheetData>
    <row r="1" spans="1:58" ht="15" customHeight="1" x14ac:dyDescent="0.2">
      <c r="A1" s="81"/>
      <c r="B1" s="308" t="s">
        <v>0</v>
      </c>
      <c r="C1" s="308"/>
      <c r="D1" s="308"/>
      <c r="E1" s="308"/>
      <c r="F1" s="82" t="s">
        <v>1</v>
      </c>
      <c r="G1" s="308" t="s">
        <v>44</v>
      </c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15"/>
      <c r="S1" s="316" t="s">
        <v>2</v>
      </c>
      <c r="T1" s="308"/>
      <c r="U1" s="308"/>
      <c r="V1" s="82" t="s">
        <v>1</v>
      </c>
      <c r="W1" s="317" t="s">
        <v>71</v>
      </c>
      <c r="X1" s="317"/>
      <c r="Y1" s="318"/>
      <c r="Z1" s="319" t="s">
        <v>3</v>
      </c>
      <c r="AA1" s="319"/>
      <c r="AB1" s="319"/>
      <c r="AC1" s="319"/>
      <c r="AD1" s="319"/>
      <c r="AE1" s="319"/>
      <c r="AF1" s="319"/>
      <c r="AG1" s="319"/>
    </row>
    <row r="2" spans="1:58" ht="15" customHeight="1" thickBot="1" x14ac:dyDescent="0.25">
      <c r="A2" s="81"/>
      <c r="B2" s="308" t="s">
        <v>4</v>
      </c>
      <c r="C2" s="308"/>
      <c r="D2" s="308"/>
      <c r="E2" s="308"/>
      <c r="F2" s="82" t="s">
        <v>1</v>
      </c>
      <c r="G2" s="308" t="s">
        <v>73</v>
      </c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15"/>
      <c r="S2" s="316" t="s">
        <v>5</v>
      </c>
      <c r="T2" s="308"/>
      <c r="U2" s="308"/>
      <c r="V2" s="82" t="s">
        <v>1</v>
      </c>
      <c r="W2" s="317" t="s">
        <v>71</v>
      </c>
      <c r="X2" s="317"/>
      <c r="Y2" s="318"/>
      <c r="Z2" s="319" t="s">
        <v>6</v>
      </c>
      <c r="AA2" s="319"/>
      <c r="AB2" s="319"/>
      <c r="AC2" s="319"/>
      <c r="AD2" s="319" t="s">
        <v>7</v>
      </c>
      <c r="AE2" s="319"/>
      <c r="AF2" s="319"/>
      <c r="AG2" s="319"/>
      <c r="AI2" s="84" t="s">
        <v>40</v>
      </c>
      <c r="AJ2" s="85"/>
      <c r="AK2" s="86"/>
      <c r="AL2" s="86"/>
      <c r="AM2" s="87"/>
    </row>
    <row r="3" spans="1:58" ht="15" customHeight="1" x14ac:dyDescent="0.2">
      <c r="A3" s="81"/>
      <c r="B3" s="308" t="s">
        <v>8</v>
      </c>
      <c r="C3" s="308"/>
      <c r="D3" s="308"/>
      <c r="E3" s="308"/>
      <c r="F3" s="82" t="s">
        <v>1</v>
      </c>
      <c r="G3" s="308" t="s">
        <v>44</v>
      </c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15"/>
      <c r="S3" s="316" t="s">
        <v>9</v>
      </c>
      <c r="T3" s="308"/>
      <c r="U3" s="308"/>
      <c r="V3" s="82" t="s">
        <v>1</v>
      </c>
      <c r="W3" s="317" t="s">
        <v>71</v>
      </c>
      <c r="X3" s="317"/>
      <c r="Y3" s="318"/>
      <c r="Z3" s="319" t="s">
        <v>11</v>
      </c>
      <c r="AA3" s="319"/>
      <c r="AB3" s="319"/>
      <c r="AC3" s="319"/>
      <c r="AD3" s="319" t="s">
        <v>11</v>
      </c>
      <c r="AE3" s="319"/>
      <c r="AF3" s="319"/>
      <c r="AG3" s="319"/>
      <c r="AL3" s="88"/>
      <c r="AM3" s="88"/>
      <c r="AN3" s="88"/>
      <c r="AO3" s="88"/>
      <c r="AP3" s="88"/>
    </row>
    <row r="4" spans="1:58" ht="15" customHeight="1" x14ac:dyDescent="0.2">
      <c r="A4" s="81"/>
      <c r="B4" s="308" t="s">
        <v>10</v>
      </c>
      <c r="C4" s="308"/>
      <c r="D4" s="308"/>
      <c r="E4" s="308"/>
      <c r="F4" s="82" t="s">
        <v>1</v>
      </c>
      <c r="G4" s="309" t="s">
        <v>44</v>
      </c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10"/>
      <c r="S4" s="311" t="s">
        <v>365</v>
      </c>
      <c r="T4" s="312"/>
      <c r="U4" s="312"/>
      <c r="V4" s="312"/>
      <c r="W4" s="312"/>
      <c r="X4" s="312"/>
      <c r="Y4" s="313"/>
      <c r="Z4" s="314">
        <v>43075</v>
      </c>
      <c r="AA4" s="314"/>
      <c r="AB4" s="314"/>
      <c r="AC4" s="314"/>
      <c r="AD4" s="314">
        <f ca="1">TODAY()</f>
        <v>45720</v>
      </c>
      <c r="AE4" s="314"/>
      <c r="AF4" s="314"/>
      <c r="AG4" s="314"/>
      <c r="AN4" s="89"/>
    </row>
    <row r="5" spans="1:58" x14ac:dyDescent="0.2">
      <c r="A5" s="90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2"/>
      <c r="AN5" s="89"/>
    </row>
    <row r="6" spans="1:58" x14ac:dyDescent="0.2">
      <c r="A6" s="93"/>
      <c r="B6" s="27" t="s">
        <v>41</v>
      </c>
      <c r="D6" s="88"/>
      <c r="E6" s="88"/>
      <c r="F6" s="88"/>
      <c r="G6" s="88"/>
      <c r="H6" s="88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5"/>
    </row>
    <row r="7" spans="1:58" x14ac:dyDescent="0.2">
      <c r="A7" s="93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5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</row>
    <row r="8" spans="1:58" ht="12.75" x14ac:dyDescent="0.2">
      <c r="A8" s="93"/>
      <c r="B8" s="320" t="s">
        <v>74</v>
      </c>
      <c r="C8" s="321"/>
      <c r="D8" s="321"/>
      <c r="E8" s="322"/>
      <c r="F8" s="323" t="s">
        <v>75</v>
      </c>
      <c r="G8" s="324"/>
      <c r="H8" s="324"/>
      <c r="I8" s="324"/>
      <c r="J8" s="324"/>
      <c r="K8" s="324"/>
      <c r="L8" s="324"/>
      <c r="M8" s="324"/>
      <c r="N8" s="324"/>
      <c r="O8" s="325"/>
      <c r="P8" s="320" t="s">
        <v>76</v>
      </c>
      <c r="Q8" s="321"/>
      <c r="R8" s="321"/>
      <c r="S8" s="322"/>
      <c r="T8" s="323" t="s">
        <v>51</v>
      </c>
      <c r="U8" s="326"/>
      <c r="V8" s="326"/>
      <c r="W8" s="326"/>
      <c r="X8" s="326"/>
      <c r="Y8" s="326"/>
      <c r="Z8" s="326"/>
      <c r="AA8" s="326"/>
      <c r="AB8" s="326"/>
      <c r="AC8" s="326"/>
      <c r="AD8" s="326"/>
      <c r="AE8" s="326"/>
      <c r="AF8" s="325"/>
      <c r="AG8" s="95"/>
      <c r="AI8" s="94"/>
      <c r="AJ8" s="41"/>
      <c r="AK8" s="41"/>
      <c r="AL8" s="41"/>
      <c r="AM8" s="41"/>
      <c r="AN8" s="94"/>
      <c r="AO8" s="41"/>
      <c r="AP8" s="41"/>
      <c r="AQ8" s="41"/>
      <c r="AR8" s="17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ht="12.75" x14ac:dyDescent="0.2">
      <c r="A9" s="93"/>
      <c r="B9" s="327">
        <v>1</v>
      </c>
      <c r="C9" s="328"/>
      <c r="D9" s="328"/>
      <c r="E9" s="329"/>
      <c r="F9" s="330" t="s">
        <v>42</v>
      </c>
      <c r="G9" s="324"/>
      <c r="H9" s="324"/>
      <c r="I9" s="324"/>
      <c r="J9" s="324"/>
      <c r="K9" s="324"/>
      <c r="L9" s="324"/>
      <c r="M9" s="324"/>
      <c r="N9" s="324"/>
      <c r="O9" s="325"/>
      <c r="P9" s="331">
        <v>43075</v>
      </c>
      <c r="Q9" s="332"/>
      <c r="R9" s="332"/>
      <c r="S9" s="333"/>
      <c r="T9" s="330" t="s">
        <v>44</v>
      </c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4"/>
      <c r="AF9" s="325"/>
      <c r="AG9" s="95"/>
      <c r="AI9" s="96"/>
      <c r="AJ9" s="41"/>
      <c r="AK9" s="41"/>
      <c r="AL9" s="41"/>
      <c r="AM9" s="41"/>
      <c r="AN9" s="94"/>
      <c r="AO9" s="41"/>
      <c r="AP9" s="41"/>
      <c r="AQ9" s="41"/>
      <c r="AR9" s="104"/>
      <c r="AS9" s="105"/>
      <c r="AT9" s="105"/>
      <c r="AU9" s="105"/>
      <c r="AV9" s="104"/>
      <c r="AW9" s="106"/>
      <c r="AX9" s="107"/>
      <c r="AY9" s="107"/>
      <c r="AZ9" s="107"/>
      <c r="BA9" s="107"/>
      <c r="BB9" s="107"/>
      <c r="BC9" s="107"/>
      <c r="BD9" s="107"/>
      <c r="BE9" s="107"/>
      <c r="BF9" s="107"/>
    </row>
    <row r="10" spans="1:58" ht="12.75" x14ac:dyDescent="0.2">
      <c r="A10" s="93"/>
      <c r="B10" s="270">
        <v>1.1000000000000001</v>
      </c>
      <c r="C10" s="271"/>
      <c r="D10" s="271"/>
      <c r="E10" s="272"/>
      <c r="F10" s="276" t="s">
        <v>299</v>
      </c>
      <c r="G10" s="277"/>
      <c r="H10" s="277"/>
      <c r="I10" s="277"/>
      <c r="J10" s="277"/>
      <c r="K10" s="277"/>
      <c r="L10" s="277"/>
      <c r="M10" s="277"/>
      <c r="N10" s="277"/>
      <c r="O10" s="278"/>
      <c r="P10" s="279">
        <v>43076</v>
      </c>
      <c r="Q10" s="280"/>
      <c r="R10" s="280"/>
      <c r="S10" s="281"/>
      <c r="T10" s="282" t="s">
        <v>300</v>
      </c>
      <c r="U10" s="283"/>
      <c r="V10" s="283"/>
      <c r="W10" s="283"/>
      <c r="X10" s="283"/>
      <c r="Y10" s="283"/>
      <c r="Z10" s="283"/>
      <c r="AA10" s="283"/>
      <c r="AB10" s="283"/>
      <c r="AC10" s="283"/>
      <c r="AD10" s="283"/>
      <c r="AE10" s="283"/>
      <c r="AF10" s="284"/>
      <c r="AG10" s="95"/>
      <c r="AI10" s="94"/>
      <c r="AJ10" s="41"/>
      <c r="AK10" s="41"/>
      <c r="AL10" s="41"/>
      <c r="AM10" s="41"/>
      <c r="AN10" s="94"/>
      <c r="AO10" s="94"/>
      <c r="AP10" s="94"/>
      <c r="AQ10" s="94"/>
      <c r="AR10" s="104"/>
      <c r="AS10" s="105"/>
      <c r="AT10" s="105"/>
      <c r="AU10" s="105"/>
      <c r="AV10" s="104"/>
      <c r="AW10" s="106"/>
      <c r="AX10" s="107"/>
      <c r="AY10" s="107"/>
      <c r="AZ10" s="107"/>
      <c r="BA10" s="107"/>
      <c r="BB10" s="107"/>
      <c r="BC10" s="107"/>
      <c r="BD10" s="107"/>
      <c r="BE10" s="107"/>
      <c r="BF10" s="107"/>
    </row>
    <row r="11" spans="1:58" ht="12.75" x14ac:dyDescent="0.2">
      <c r="A11" s="93"/>
      <c r="B11" s="273"/>
      <c r="C11" s="274"/>
      <c r="D11" s="274"/>
      <c r="E11" s="275"/>
      <c r="F11" s="273"/>
      <c r="G11" s="274"/>
      <c r="H11" s="274"/>
      <c r="I11" s="274"/>
      <c r="J11" s="274"/>
      <c r="K11" s="274"/>
      <c r="L11" s="274"/>
      <c r="M11" s="274"/>
      <c r="N11" s="274"/>
      <c r="O11" s="275"/>
      <c r="P11" s="273"/>
      <c r="Q11" s="274"/>
      <c r="R11" s="274"/>
      <c r="S11" s="275"/>
      <c r="T11" s="285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7"/>
      <c r="AG11" s="95"/>
      <c r="AI11" s="94"/>
      <c r="AJ11" s="41"/>
      <c r="AK11" s="41"/>
      <c r="AL11" s="41"/>
      <c r="AM11" s="41"/>
      <c r="AN11" s="94"/>
      <c r="AO11" s="94"/>
      <c r="AP11" s="94"/>
      <c r="AQ11" s="94"/>
      <c r="AR11" s="104"/>
      <c r="AS11" s="105"/>
      <c r="AT11" s="105"/>
      <c r="AU11" s="105"/>
      <c r="AV11" s="104"/>
      <c r="AW11" s="106"/>
      <c r="AX11" s="107"/>
      <c r="AY11" s="107"/>
      <c r="AZ11" s="107"/>
      <c r="BA11" s="107"/>
      <c r="BB11" s="107"/>
      <c r="BC11" s="107"/>
      <c r="BD11" s="107"/>
      <c r="BE11" s="107"/>
      <c r="BF11" s="107"/>
    </row>
    <row r="12" spans="1:58" ht="12.75" x14ac:dyDescent="0.2">
      <c r="A12" s="93"/>
      <c r="B12" s="270">
        <v>1.2</v>
      </c>
      <c r="C12" s="271"/>
      <c r="D12" s="271"/>
      <c r="E12" s="272"/>
      <c r="F12" s="276" t="s">
        <v>303</v>
      </c>
      <c r="G12" s="277"/>
      <c r="H12" s="277"/>
      <c r="I12" s="277"/>
      <c r="J12" s="277"/>
      <c r="K12" s="277"/>
      <c r="L12" s="277"/>
      <c r="M12" s="277"/>
      <c r="N12" s="277"/>
      <c r="O12" s="278"/>
      <c r="P12" s="279">
        <v>43081</v>
      </c>
      <c r="Q12" s="280"/>
      <c r="R12" s="280"/>
      <c r="S12" s="281"/>
      <c r="T12" s="282" t="s">
        <v>302</v>
      </c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4"/>
      <c r="AG12" s="95"/>
      <c r="AI12" s="94"/>
      <c r="AJ12" s="94"/>
      <c r="AK12" s="94"/>
      <c r="AL12" s="94"/>
      <c r="AM12" s="94"/>
      <c r="AN12" s="94"/>
      <c r="AO12" s="94"/>
      <c r="AP12" s="94"/>
      <c r="AQ12" s="94"/>
      <c r="AR12" s="104"/>
      <c r="AS12" s="105"/>
      <c r="AT12" s="105"/>
      <c r="AU12" s="105"/>
      <c r="AV12" s="104"/>
      <c r="AW12" s="106"/>
      <c r="AX12" s="107"/>
      <c r="AY12" s="107"/>
      <c r="AZ12" s="107"/>
      <c r="BA12" s="107"/>
      <c r="BB12" s="107"/>
      <c r="BC12" s="107"/>
      <c r="BD12" s="107"/>
      <c r="BE12" s="107"/>
      <c r="BF12" s="107"/>
    </row>
    <row r="13" spans="1:58" ht="12.75" x14ac:dyDescent="0.2">
      <c r="A13" s="93"/>
      <c r="B13" s="273"/>
      <c r="C13" s="274"/>
      <c r="D13" s="274"/>
      <c r="E13" s="275"/>
      <c r="F13" s="273"/>
      <c r="G13" s="274"/>
      <c r="H13" s="274"/>
      <c r="I13" s="274"/>
      <c r="J13" s="274"/>
      <c r="K13" s="274"/>
      <c r="L13" s="274"/>
      <c r="M13" s="274"/>
      <c r="N13" s="274"/>
      <c r="O13" s="275"/>
      <c r="P13" s="273"/>
      <c r="Q13" s="274"/>
      <c r="R13" s="274"/>
      <c r="S13" s="275"/>
      <c r="T13" s="285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  <c r="AF13" s="287"/>
      <c r="AG13" s="95"/>
      <c r="AI13" s="94"/>
      <c r="AJ13" s="41"/>
      <c r="AK13" s="41"/>
      <c r="AL13" s="41"/>
      <c r="AM13" s="41"/>
      <c r="AN13" s="94"/>
      <c r="AO13" s="41"/>
      <c r="AP13" s="41"/>
      <c r="AQ13" s="41"/>
      <c r="AR13" s="104"/>
      <c r="AS13" s="105"/>
      <c r="AT13" s="105"/>
      <c r="AU13" s="105"/>
      <c r="AV13" s="104"/>
      <c r="AW13" s="106"/>
      <c r="AX13" s="107"/>
      <c r="AY13" s="107"/>
      <c r="AZ13" s="107"/>
      <c r="BA13" s="107"/>
      <c r="BB13" s="107"/>
      <c r="BC13" s="107"/>
      <c r="BD13" s="107"/>
      <c r="BE13" s="107"/>
      <c r="BF13" s="107"/>
    </row>
    <row r="14" spans="1:58" s="94" customFormat="1" ht="12.75" x14ac:dyDescent="0.2">
      <c r="A14" s="93"/>
      <c r="B14" s="270">
        <v>1.3</v>
      </c>
      <c r="C14" s="271"/>
      <c r="D14" s="271"/>
      <c r="E14" s="272"/>
      <c r="F14" s="276" t="s">
        <v>299</v>
      </c>
      <c r="G14" s="277"/>
      <c r="H14" s="277"/>
      <c r="I14" s="277"/>
      <c r="J14" s="277"/>
      <c r="K14" s="277"/>
      <c r="L14" s="277"/>
      <c r="M14" s="277"/>
      <c r="N14" s="277"/>
      <c r="O14" s="278"/>
      <c r="P14" s="279">
        <v>43122</v>
      </c>
      <c r="Q14" s="280"/>
      <c r="R14" s="280"/>
      <c r="S14" s="281"/>
      <c r="T14" s="282" t="s">
        <v>304</v>
      </c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4"/>
      <c r="AG14" s="95"/>
      <c r="AJ14" s="41"/>
      <c r="AK14" s="41"/>
      <c r="AL14" s="41"/>
      <c r="AM14" s="41"/>
      <c r="AO14" s="41"/>
      <c r="AP14" s="41"/>
      <c r="AQ14" s="41"/>
      <c r="AR14" s="108"/>
      <c r="AS14" s="109"/>
      <c r="AT14" s="109"/>
      <c r="AU14" s="109"/>
      <c r="AV14" s="108"/>
      <c r="AW14" s="108"/>
      <c r="AX14" s="109"/>
      <c r="AY14" s="109"/>
      <c r="AZ14" s="109"/>
      <c r="BA14" s="109"/>
      <c r="BB14" s="109"/>
      <c r="BC14" s="109"/>
      <c r="BD14" s="109"/>
      <c r="BE14" s="109"/>
      <c r="BF14" s="109"/>
    </row>
    <row r="15" spans="1:58" s="94" customFormat="1" ht="12.75" x14ac:dyDescent="0.2">
      <c r="A15" s="93"/>
      <c r="B15" s="273"/>
      <c r="C15" s="274"/>
      <c r="D15" s="274"/>
      <c r="E15" s="275"/>
      <c r="F15" s="273"/>
      <c r="G15" s="274"/>
      <c r="H15" s="274"/>
      <c r="I15" s="274"/>
      <c r="J15" s="274"/>
      <c r="K15" s="274"/>
      <c r="L15" s="274"/>
      <c r="M15" s="274"/>
      <c r="N15" s="274"/>
      <c r="O15" s="275"/>
      <c r="P15" s="273"/>
      <c r="Q15" s="274"/>
      <c r="R15" s="274"/>
      <c r="S15" s="275"/>
      <c r="T15" s="285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7"/>
      <c r="AG15" s="95"/>
      <c r="AJ15" s="41"/>
      <c r="AK15" s="41"/>
      <c r="AL15" s="41"/>
      <c r="AM15" s="41"/>
      <c r="AO15" s="41"/>
      <c r="AP15" s="41"/>
      <c r="AQ15" s="41"/>
      <c r="AR15" s="41"/>
    </row>
    <row r="16" spans="1:58" s="94" customFormat="1" ht="12.75" x14ac:dyDescent="0.2">
      <c r="A16" s="93"/>
      <c r="B16" s="270">
        <v>1.4</v>
      </c>
      <c r="C16" s="300"/>
      <c r="D16" s="300"/>
      <c r="E16" s="301"/>
      <c r="F16" s="276" t="s">
        <v>306</v>
      </c>
      <c r="G16" s="302"/>
      <c r="H16" s="302"/>
      <c r="I16" s="302"/>
      <c r="J16" s="302"/>
      <c r="K16" s="302"/>
      <c r="L16" s="302"/>
      <c r="M16" s="302"/>
      <c r="N16" s="302"/>
      <c r="O16" s="303"/>
      <c r="P16" s="279">
        <v>43143</v>
      </c>
      <c r="Q16" s="304"/>
      <c r="R16" s="304"/>
      <c r="S16" s="305"/>
      <c r="T16" s="282" t="s">
        <v>307</v>
      </c>
      <c r="U16" s="306"/>
      <c r="V16" s="306"/>
      <c r="W16" s="306"/>
      <c r="X16" s="306"/>
      <c r="Y16" s="306"/>
      <c r="Z16" s="306"/>
      <c r="AA16" s="306"/>
      <c r="AB16" s="306"/>
      <c r="AC16" s="306"/>
      <c r="AD16" s="306"/>
      <c r="AE16" s="306"/>
      <c r="AF16" s="307"/>
      <c r="AG16" s="95"/>
      <c r="AJ16" s="41"/>
      <c r="AK16" s="41"/>
      <c r="AL16" s="41"/>
      <c r="AM16" s="41"/>
      <c r="AO16" s="41"/>
      <c r="AP16" s="41"/>
      <c r="AQ16" s="41"/>
      <c r="AR16" s="41"/>
    </row>
    <row r="17" spans="1:44" s="94" customFormat="1" ht="12.75" x14ac:dyDescent="0.2">
      <c r="A17" s="93"/>
      <c r="B17" s="273"/>
      <c r="C17" s="274"/>
      <c r="D17" s="274"/>
      <c r="E17" s="275"/>
      <c r="F17" s="273"/>
      <c r="G17" s="274"/>
      <c r="H17" s="274"/>
      <c r="I17" s="274"/>
      <c r="J17" s="274"/>
      <c r="K17" s="274"/>
      <c r="L17" s="274"/>
      <c r="M17" s="274"/>
      <c r="N17" s="274"/>
      <c r="O17" s="275"/>
      <c r="P17" s="273"/>
      <c r="Q17" s="274"/>
      <c r="R17" s="274"/>
      <c r="S17" s="275"/>
      <c r="T17" s="285"/>
      <c r="U17" s="286"/>
      <c r="V17" s="286"/>
      <c r="W17" s="286"/>
      <c r="X17" s="286"/>
      <c r="Y17" s="286"/>
      <c r="Z17" s="286"/>
      <c r="AA17" s="286"/>
      <c r="AB17" s="286"/>
      <c r="AC17" s="286"/>
      <c r="AD17" s="286"/>
      <c r="AE17" s="286"/>
      <c r="AF17" s="287"/>
      <c r="AG17" s="95"/>
      <c r="AJ17" s="41"/>
      <c r="AK17" s="41"/>
      <c r="AL17" s="41"/>
      <c r="AM17" s="41"/>
      <c r="AO17" s="41"/>
      <c r="AP17" s="41"/>
      <c r="AQ17" s="41"/>
      <c r="AR17" s="41"/>
    </row>
    <row r="18" spans="1:44" s="94" customFormat="1" ht="12.75" x14ac:dyDescent="0.2">
      <c r="A18" s="93"/>
      <c r="B18" s="288">
        <v>1.5</v>
      </c>
      <c r="C18" s="289"/>
      <c r="D18" s="289"/>
      <c r="E18" s="289"/>
      <c r="F18" s="292" t="s">
        <v>308</v>
      </c>
      <c r="G18" s="293"/>
      <c r="H18" s="293"/>
      <c r="I18" s="293"/>
      <c r="J18" s="293"/>
      <c r="K18" s="293"/>
      <c r="L18" s="293"/>
      <c r="M18" s="293"/>
      <c r="N18" s="293"/>
      <c r="O18" s="293"/>
      <c r="P18" s="294">
        <v>43154</v>
      </c>
      <c r="Q18" s="295"/>
      <c r="R18" s="295"/>
      <c r="S18" s="295"/>
      <c r="T18" s="296" t="s">
        <v>309</v>
      </c>
      <c r="U18" s="297"/>
      <c r="V18" s="297"/>
      <c r="W18" s="297"/>
      <c r="X18" s="297"/>
      <c r="Y18" s="297"/>
      <c r="Z18" s="297"/>
      <c r="AA18" s="297"/>
      <c r="AB18" s="297"/>
      <c r="AC18" s="297"/>
      <c r="AD18" s="297"/>
      <c r="AE18" s="297"/>
      <c r="AF18" s="297"/>
      <c r="AG18" s="95"/>
      <c r="AJ18" s="41"/>
      <c r="AK18" s="41"/>
      <c r="AL18" s="41"/>
      <c r="AM18" s="41"/>
      <c r="AO18" s="41"/>
      <c r="AP18" s="41"/>
      <c r="AQ18" s="41"/>
      <c r="AR18" s="41"/>
    </row>
    <row r="19" spans="1:44" s="94" customFormat="1" ht="12.75" x14ac:dyDescent="0.2">
      <c r="A19" s="93"/>
      <c r="B19" s="290"/>
      <c r="C19" s="290"/>
      <c r="D19" s="290"/>
      <c r="E19" s="290"/>
      <c r="F19" s="290"/>
      <c r="G19" s="290"/>
      <c r="H19" s="290"/>
      <c r="I19" s="290"/>
      <c r="J19" s="290"/>
      <c r="K19" s="290"/>
      <c r="L19" s="290"/>
      <c r="M19" s="290"/>
      <c r="N19" s="290"/>
      <c r="O19" s="290"/>
      <c r="P19" s="290"/>
      <c r="Q19" s="290"/>
      <c r="R19" s="290"/>
      <c r="S19" s="290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95"/>
      <c r="AJ19" s="41"/>
      <c r="AK19" s="41"/>
      <c r="AL19" s="41"/>
      <c r="AM19" s="41"/>
      <c r="AO19" s="41"/>
      <c r="AP19" s="41"/>
      <c r="AQ19" s="41"/>
      <c r="AR19" s="41"/>
    </row>
    <row r="20" spans="1:44" s="94" customFormat="1" ht="12.75" x14ac:dyDescent="0.2">
      <c r="A20" s="93"/>
      <c r="B20" s="291"/>
      <c r="C20" s="291"/>
      <c r="D20" s="291"/>
      <c r="E20" s="291"/>
      <c r="F20" s="291"/>
      <c r="G20" s="291"/>
      <c r="H20" s="291"/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9"/>
      <c r="U20" s="299"/>
      <c r="V20" s="299"/>
      <c r="W20" s="299"/>
      <c r="X20" s="299"/>
      <c r="Y20" s="299"/>
      <c r="Z20" s="299"/>
      <c r="AA20" s="299"/>
      <c r="AB20" s="299"/>
      <c r="AC20" s="299"/>
      <c r="AD20" s="299"/>
      <c r="AE20" s="299"/>
      <c r="AF20" s="299"/>
      <c r="AG20" s="95"/>
      <c r="AJ20" s="41"/>
      <c r="AK20" s="41"/>
      <c r="AL20" s="41"/>
      <c r="AM20" s="41"/>
      <c r="AO20" s="41"/>
      <c r="AP20" s="41"/>
      <c r="AQ20" s="41"/>
      <c r="AR20" s="41"/>
    </row>
    <row r="21" spans="1:44" s="94" customFormat="1" ht="12.75" x14ac:dyDescent="0.2">
      <c r="A21" s="93"/>
      <c r="B21" s="288">
        <v>1.6</v>
      </c>
      <c r="C21" s="289"/>
      <c r="D21" s="289"/>
      <c r="E21" s="289"/>
      <c r="F21" s="282" t="s">
        <v>340</v>
      </c>
      <c r="G21" s="283"/>
      <c r="H21" s="283"/>
      <c r="I21" s="283"/>
      <c r="J21" s="283"/>
      <c r="K21" s="283"/>
      <c r="L21" s="283"/>
      <c r="M21" s="283"/>
      <c r="N21" s="283"/>
      <c r="O21" s="284"/>
      <c r="P21" s="294">
        <v>43155</v>
      </c>
      <c r="Q21" s="295"/>
      <c r="R21" s="295"/>
      <c r="S21" s="295"/>
      <c r="T21" s="296" t="s">
        <v>341</v>
      </c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95"/>
      <c r="AJ21" s="41"/>
      <c r="AK21" s="41"/>
      <c r="AL21" s="41"/>
      <c r="AM21" s="41"/>
      <c r="AO21" s="41"/>
      <c r="AP21" s="41"/>
      <c r="AQ21" s="41"/>
      <c r="AR21" s="41"/>
    </row>
    <row r="22" spans="1:44" s="94" customFormat="1" ht="12.75" x14ac:dyDescent="0.2">
      <c r="A22" s="93"/>
      <c r="B22" s="291"/>
      <c r="C22" s="291"/>
      <c r="D22" s="291"/>
      <c r="E22" s="291"/>
      <c r="F22" s="285"/>
      <c r="G22" s="286"/>
      <c r="H22" s="286"/>
      <c r="I22" s="286"/>
      <c r="J22" s="286"/>
      <c r="K22" s="286"/>
      <c r="L22" s="286"/>
      <c r="M22" s="286"/>
      <c r="N22" s="286"/>
      <c r="O22" s="287"/>
      <c r="P22" s="291"/>
      <c r="Q22" s="291"/>
      <c r="R22" s="291"/>
      <c r="S22" s="291"/>
      <c r="T22" s="299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299"/>
      <c r="AF22" s="299"/>
      <c r="AG22" s="95"/>
      <c r="AJ22" s="41"/>
      <c r="AK22" s="41"/>
      <c r="AL22" s="41"/>
      <c r="AM22" s="41"/>
      <c r="AO22" s="41"/>
      <c r="AP22" s="41"/>
      <c r="AQ22" s="41"/>
      <c r="AR22" s="41"/>
    </row>
    <row r="23" spans="1:44" s="94" customFormat="1" ht="12.75" x14ac:dyDescent="0.2">
      <c r="A23" s="93"/>
      <c r="B23" s="288">
        <v>1.7</v>
      </c>
      <c r="C23" s="289"/>
      <c r="D23" s="289"/>
      <c r="E23" s="289"/>
      <c r="F23" s="282" t="s">
        <v>347</v>
      </c>
      <c r="G23" s="283"/>
      <c r="H23" s="283"/>
      <c r="I23" s="283"/>
      <c r="J23" s="283"/>
      <c r="K23" s="283"/>
      <c r="L23" s="283"/>
      <c r="M23" s="283"/>
      <c r="N23" s="283"/>
      <c r="O23" s="284"/>
      <c r="P23" s="294">
        <v>43196</v>
      </c>
      <c r="Q23" s="295"/>
      <c r="R23" s="295"/>
      <c r="S23" s="295"/>
      <c r="T23" s="296" t="s">
        <v>348</v>
      </c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95"/>
      <c r="AJ23" s="41"/>
      <c r="AK23" s="41"/>
      <c r="AL23" s="41"/>
      <c r="AM23" s="41"/>
      <c r="AO23" s="41"/>
      <c r="AP23" s="41"/>
      <c r="AQ23" s="41"/>
      <c r="AR23" s="41"/>
    </row>
    <row r="24" spans="1:44" s="94" customFormat="1" ht="12.75" x14ac:dyDescent="0.2">
      <c r="A24" s="93"/>
      <c r="B24" s="291"/>
      <c r="C24" s="291"/>
      <c r="D24" s="291"/>
      <c r="E24" s="291"/>
      <c r="F24" s="285"/>
      <c r="G24" s="286"/>
      <c r="H24" s="286"/>
      <c r="I24" s="286"/>
      <c r="J24" s="286"/>
      <c r="K24" s="286"/>
      <c r="L24" s="286"/>
      <c r="M24" s="286"/>
      <c r="N24" s="286"/>
      <c r="O24" s="287"/>
      <c r="P24" s="291"/>
      <c r="Q24" s="291"/>
      <c r="R24" s="291"/>
      <c r="S24" s="291"/>
      <c r="T24" s="299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299"/>
      <c r="AF24" s="299"/>
      <c r="AG24" s="95"/>
      <c r="AJ24" s="41"/>
      <c r="AK24" s="41"/>
      <c r="AL24" s="41"/>
      <c r="AM24" s="41"/>
      <c r="AO24" s="41"/>
      <c r="AP24" s="41"/>
      <c r="AQ24" s="41"/>
      <c r="AR24" s="41"/>
    </row>
    <row r="25" spans="1:44" s="94" customFormat="1" ht="12.75" x14ac:dyDescent="0.2">
      <c r="A25" s="93"/>
      <c r="B25" s="288">
        <v>2</v>
      </c>
      <c r="C25" s="289"/>
      <c r="D25" s="289"/>
      <c r="E25" s="289"/>
      <c r="F25" s="282" t="s">
        <v>364</v>
      </c>
      <c r="G25" s="283"/>
      <c r="H25" s="283"/>
      <c r="I25" s="283"/>
      <c r="J25" s="283"/>
      <c r="K25" s="283"/>
      <c r="L25" s="283"/>
      <c r="M25" s="283"/>
      <c r="N25" s="283"/>
      <c r="O25" s="284"/>
      <c r="P25" s="294">
        <v>43311</v>
      </c>
      <c r="Q25" s="295"/>
      <c r="R25" s="295"/>
      <c r="S25" s="295"/>
      <c r="T25" s="296" t="s">
        <v>44</v>
      </c>
      <c r="U25" s="297"/>
      <c r="V25" s="297"/>
      <c r="W25" s="297"/>
      <c r="X25" s="297"/>
      <c r="Y25" s="297"/>
      <c r="Z25" s="297"/>
      <c r="AA25" s="297"/>
      <c r="AB25" s="297"/>
      <c r="AC25" s="297"/>
      <c r="AD25" s="297"/>
      <c r="AE25" s="297"/>
      <c r="AF25" s="297"/>
      <c r="AG25" s="95"/>
      <c r="AJ25" s="41"/>
      <c r="AK25" s="41"/>
      <c r="AL25" s="41"/>
      <c r="AM25" s="41"/>
      <c r="AO25" s="41"/>
      <c r="AP25" s="41"/>
      <c r="AQ25" s="41"/>
      <c r="AR25" s="41"/>
    </row>
    <row r="26" spans="1:44" s="94" customFormat="1" ht="12.75" x14ac:dyDescent="0.2">
      <c r="A26" s="93"/>
      <c r="B26" s="291"/>
      <c r="C26" s="291"/>
      <c r="D26" s="291"/>
      <c r="E26" s="291"/>
      <c r="F26" s="285"/>
      <c r="G26" s="286"/>
      <c r="H26" s="286"/>
      <c r="I26" s="286"/>
      <c r="J26" s="286"/>
      <c r="K26" s="286"/>
      <c r="L26" s="286"/>
      <c r="M26" s="286"/>
      <c r="N26" s="286"/>
      <c r="O26" s="287"/>
      <c r="P26" s="291"/>
      <c r="Q26" s="291"/>
      <c r="R26" s="291"/>
      <c r="S26" s="291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95"/>
      <c r="AJ26" s="41"/>
      <c r="AK26" s="41"/>
      <c r="AL26" s="41"/>
      <c r="AM26" s="41"/>
      <c r="AO26" s="41"/>
      <c r="AP26" s="41"/>
      <c r="AQ26" s="41"/>
      <c r="AR26" s="41"/>
    </row>
    <row r="27" spans="1:44" s="94" customFormat="1" x14ac:dyDescent="0.2">
      <c r="A27" s="93"/>
      <c r="AG27" s="95"/>
    </row>
    <row r="28" spans="1:44" s="94" customFormat="1" ht="15.75" x14ac:dyDescent="0.2">
      <c r="A28" s="97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9"/>
    </row>
    <row r="29" spans="1:44" s="94" customFormat="1" ht="15.75" x14ac:dyDescent="0.2">
      <c r="A29" s="100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9"/>
    </row>
    <row r="30" spans="1:44" s="94" customFormat="1" ht="15.75" x14ac:dyDescent="0.2">
      <c r="A30" s="100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9"/>
    </row>
    <row r="31" spans="1:44" s="94" customFormat="1" ht="15.75" x14ac:dyDescent="0.2">
      <c r="A31" s="100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9"/>
    </row>
    <row r="32" spans="1:44" s="94" customFormat="1" x14ac:dyDescent="0.2">
      <c r="A32" s="93"/>
      <c r="AG32" s="95"/>
    </row>
    <row r="33" spans="1:33" s="94" customFormat="1" x14ac:dyDescent="0.2">
      <c r="A33" s="93"/>
      <c r="AG33" s="95"/>
    </row>
    <row r="34" spans="1:33" s="94" customFormat="1" x14ac:dyDescent="0.2">
      <c r="A34" s="93"/>
      <c r="AG34" s="95"/>
    </row>
    <row r="35" spans="1:33" s="94" customFormat="1" x14ac:dyDescent="0.2">
      <c r="A35" s="93"/>
      <c r="B35" s="35"/>
      <c r="AG35" s="95"/>
    </row>
    <row r="36" spans="1:33" s="94" customFormat="1" ht="12.75" x14ac:dyDescent="0.2">
      <c r="A36" s="93"/>
      <c r="W36" s="41"/>
      <c r="X36" s="41"/>
      <c r="Y36" s="41"/>
      <c r="Z36" s="41"/>
      <c r="AA36" s="41"/>
      <c r="AC36" s="41"/>
      <c r="AD36" s="41"/>
      <c r="AE36" s="41"/>
      <c r="AF36" s="41"/>
      <c r="AG36" s="43"/>
    </row>
    <row r="37" spans="1:33" s="94" customFormat="1" ht="12.75" x14ac:dyDescent="0.2">
      <c r="A37" s="93"/>
      <c r="C37" s="41"/>
      <c r="E37" s="41"/>
      <c r="F37" s="41"/>
      <c r="G37" s="41"/>
      <c r="H37" s="41"/>
      <c r="I37" s="41"/>
      <c r="J37" s="41"/>
      <c r="K37" s="41"/>
      <c r="L37" s="41"/>
      <c r="R37" s="41"/>
      <c r="S37" s="41"/>
      <c r="T37" s="41"/>
      <c r="U37" s="41"/>
      <c r="W37" s="41"/>
      <c r="X37" s="41"/>
      <c r="Z37" s="41"/>
      <c r="AA37" s="41"/>
      <c r="AG37" s="95"/>
    </row>
    <row r="38" spans="1:33" s="94" customFormat="1" ht="12.75" x14ac:dyDescent="0.2">
      <c r="A38" s="93"/>
      <c r="C38" s="41"/>
      <c r="E38" s="41"/>
      <c r="F38" s="41"/>
      <c r="G38" s="41"/>
      <c r="H38" s="41"/>
      <c r="I38" s="41"/>
      <c r="J38" s="41"/>
      <c r="K38" s="41"/>
      <c r="L38" s="41"/>
      <c r="R38" s="41"/>
      <c r="S38" s="41"/>
      <c r="T38" s="41"/>
      <c r="U38" s="41"/>
      <c r="W38" s="41"/>
      <c r="X38" s="41"/>
      <c r="Z38" s="41"/>
      <c r="AA38" s="41"/>
      <c r="AG38" s="95"/>
    </row>
    <row r="39" spans="1:33" s="94" customFormat="1" ht="12.75" x14ac:dyDescent="0.2">
      <c r="A39" s="93"/>
      <c r="C39" s="41"/>
      <c r="E39" s="41"/>
      <c r="F39" s="41"/>
      <c r="G39" s="41"/>
      <c r="H39" s="41"/>
      <c r="I39" s="41"/>
      <c r="J39" s="41"/>
      <c r="K39" s="41"/>
      <c r="L39" s="41"/>
      <c r="R39" s="41"/>
      <c r="S39" s="41"/>
      <c r="T39" s="41"/>
      <c r="U39" s="41"/>
      <c r="W39" s="41"/>
      <c r="X39" s="41"/>
      <c r="Z39" s="41"/>
      <c r="AA39" s="41"/>
      <c r="AG39" s="95"/>
    </row>
    <row r="40" spans="1:33" s="94" customFormat="1" ht="12.75" x14ac:dyDescent="0.2">
      <c r="A40" s="93"/>
      <c r="C40" s="41"/>
      <c r="E40" s="41"/>
      <c r="F40" s="41"/>
      <c r="G40" s="41"/>
      <c r="H40" s="41"/>
      <c r="I40" s="41"/>
      <c r="J40" s="41"/>
      <c r="K40" s="41"/>
      <c r="L40" s="41"/>
      <c r="R40" s="41"/>
      <c r="S40" s="41"/>
      <c r="T40" s="41"/>
      <c r="U40" s="41"/>
      <c r="W40" s="41"/>
      <c r="X40" s="41"/>
      <c r="Z40" s="41"/>
      <c r="AA40" s="41"/>
      <c r="AG40" s="95"/>
    </row>
    <row r="41" spans="1:33" s="94" customFormat="1" x14ac:dyDescent="0.2">
      <c r="A41" s="93"/>
      <c r="AG41" s="95"/>
    </row>
    <row r="42" spans="1:33" s="94" customFormat="1" x14ac:dyDescent="0.2">
      <c r="A42" s="93"/>
      <c r="AG42" s="95"/>
    </row>
    <row r="43" spans="1:33" s="94" customFormat="1" x14ac:dyDescent="0.2">
      <c r="A43" s="93"/>
      <c r="B43" s="17"/>
      <c r="AG43" s="95"/>
    </row>
    <row r="44" spans="1:33" s="94" customFormat="1" x14ac:dyDescent="0.2">
      <c r="A44" s="93"/>
      <c r="AG44" s="95"/>
    </row>
    <row r="45" spans="1:33" s="94" customFormat="1" x14ac:dyDescent="0.2">
      <c r="A45" s="93"/>
      <c r="AG45" s="95"/>
    </row>
    <row r="46" spans="1:33" s="94" customFormat="1" x14ac:dyDescent="0.2">
      <c r="A46" s="93"/>
      <c r="AG46" s="95"/>
    </row>
    <row r="47" spans="1:33" s="94" customFormat="1" x14ac:dyDescent="0.2">
      <c r="A47" s="93"/>
      <c r="AG47" s="95"/>
    </row>
    <row r="48" spans="1:33" s="94" customFormat="1" x14ac:dyDescent="0.2">
      <c r="A48" s="93"/>
      <c r="AG48" s="95"/>
    </row>
    <row r="49" spans="1:33" s="94" customFormat="1" x14ac:dyDescent="0.2">
      <c r="A49" s="93"/>
      <c r="AG49" s="95"/>
    </row>
    <row r="50" spans="1:33" s="94" customFormat="1" x14ac:dyDescent="0.2">
      <c r="A50" s="93"/>
      <c r="AG50" s="95"/>
    </row>
    <row r="51" spans="1:33" s="94" customFormat="1" x14ac:dyDescent="0.2">
      <c r="A51" s="93"/>
      <c r="AG51" s="95"/>
    </row>
    <row r="52" spans="1:33" s="94" customFormat="1" x14ac:dyDescent="0.2">
      <c r="A52" s="93"/>
      <c r="AG52" s="95"/>
    </row>
    <row r="53" spans="1:33" s="94" customFormat="1" x14ac:dyDescent="0.2">
      <c r="A53" s="93"/>
      <c r="AG53" s="95"/>
    </row>
    <row r="54" spans="1:33" s="94" customFormat="1" ht="12.75" x14ac:dyDescent="0.2">
      <c r="A54" s="93"/>
      <c r="S54" s="41"/>
      <c r="T54" s="41"/>
      <c r="U54" s="41"/>
      <c r="AG54" s="95"/>
    </row>
    <row r="55" spans="1:33" s="94" customFormat="1" x14ac:dyDescent="0.2">
      <c r="A55" s="93"/>
      <c r="AG55" s="95"/>
    </row>
    <row r="56" spans="1:33" s="94" customFormat="1" x14ac:dyDescent="0.2">
      <c r="A56" s="93"/>
      <c r="AG56" s="95"/>
    </row>
    <row r="57" spans="1:33" s="94" customFormat="1" x14ac:dyDescent="0.2">
      <c r="A57" s="93"/>
      <c r="B57" s="17"/>
      <c r="AG57" s="95"/>
    </row>
    <row r="58" spans="1:33" s="94" customFormat="1" x14ac:dyDescent="0.2">
      <c r="A58" s="93"/>
      <c r="AG58" s="95"/>
    </row>
    <row r="59" spans="1:33" s="94" customFormat="1" x14ac:dyDescent="0.2">
      <c r="A59" s="93"/>
      <c r="AG59" s="95"/>
    </row>
    <row r="60" spans="1:33" s="94" customFormat="1" x14ac:dyDescent="0.2">
      <c r="A60" s="93"/>
      <c r="AG60" s="95"/>
    </row>
    <row r="61" spans="1:33" s="94" customFormat="1" x14ac:dyDescent="0.2">
      <c r="A61" s="93"/>
      <c r="AG61" s="95"/>
    </row>
    <row r="62" spans="1:33" s="94" customFormat="1" ht="12.75" x14ac:dyDescent="0.2">
      <c r="A62" s="93"/>
      <c r="B62" s="35"/>
      <c r="C62" s="41"/>
      <c r="D62" s="41"/>
      <c r="E62" s="41"/>
      <c r="F62" s="41"/>
      <c r="G62" s="17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95"/>
    </row>
    <row r="63" spans="1:33" s="94" customFormat="1" ht="12.75" x14ac:dyDescent="0.2">
      <c r="A63" s="93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95"/>
    </row>
    <row r="64" spans="1:33" s="94" customFormat="1" x14ac:dyDescent="0.2">
      <c r="A64" s="101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3"/>
    </row>
  </sheetData>
  <sheetProtection algorithmName="SHA-512" hashValue="0chQjIwemYbhBVckmauysAd0y6YwxEwpKGjLqnfUHGPH5+32adJVkJ3oVAKfdDoaGq3ppOh21CigGORvj3VJfg==" saltValue="awihG8pnXLRq/U78WvkbvQ==" spinCount="100000" sheet="1" objects="1" scenarios="1"/>
  <mergeCells count="62">
    <mergeCell ref="B25:E26"/>
    <mergeCell ref="F25:O26"/>
    <mergeCell ref="P25:S26"/>
    <mergeCell ref="T25:AF26"/>
    <mergeCell ref="B23:E24"/>
    <mergeCell ref="F23:O24"/>
    <mergeCell ref="P23:S24"/>
    <mergeCell ref="T23:AF24"/>
    <mergeCell ref="B21:E22"/>
    <mergeCell ref="F21:O22"/>
    <mergeCell ref="P21:S22"/>
    <mergeCell ref="T21:AF22"/>
    <mergeCell ref="B8:E8"/>
    <mergeCell ref="F8:O8"/>
    <mergeCell ref="P8:S8"/>
    <mergeCell ref="T8:AF8"/>
    <mergeCell ref="B9:E9"/>
    <mergeCell ref="F9:O9"/>
    <mergeCell ref="P9:S9"/>
    <mergeCell ref="T9:AF9"/>
    <mergeCell ref="T12:AF13"/>
    <mergeCell ref="P12:S13"/>
    <mergeCell ref="F12:O13"/>
    <mergeCell ref="B12:E13"/>
    <mergeCell ref="AD2:AG2"/>
    <mergeCell ref="B3:E3"/>
    <mergeCell ref="G3:R3"/>
    <mergeCell ref="S3:U3"/>
    <mergeCell ref="W3:Y3"/>
    <mergeCell ref="Z3:AC3"/>
    <mergeCell ref="AD3:AG3"/>
    <mergeCell ref="B2:E2"/>
    <mergeCell ref="G2:R2"/>
    <mergeCell ref="S2:U2"/>
    <mergeCell ref="W2:Y2"/>
    <mergeCell ref="Z2:AC2"/>
    <mergeCell ref="B1:E1"/>
    <mergeCell ref="G1:R1"/>
    <mergeCell ref="S1:U1"/>
    <mergeCell ref="W1:Y1"/>
    <mergeCell ref="Z1:AG1"/>
    <mergeCell ref="B4:E4"/>
    <mergeCell ref="G4:R4"/>
    <mergeCell ref="S4:Y4"/>
    <mergeCell ref="Z4:AC4"/>
    <mergeCell ref="AD4:AG4"/>
    <mergeCell ref="B10:E11"/>
    <mergeCell ref="F10:O11"/>
    <mergeCell ref="P10:S11"/>
    <mergeCell ref="T10:AF11"/>
    <mergeCell ref="B18:E20"/>
    <mergeCell ref="F18:O20"/>
    <mergeCell ref="P18:S20"/>
    <mergeCell ref="T18:AF20"/>
    <mergeCell ref="B14:E15"/>
    <mergeCell ref="F14:O15"/>
    <mergeCell ref="P14:S15"/>
    <mergeCell ref="T14:AF15"/>
    <mergeCell ref="B16:E17"/>
    <mergeCell ref="F16:O17"/>
    <mergeCell ref="P16:S17"/>
    <mergeCell ref="T16:AF17"/>
  </mergeCells>
  <printOptions horizontalCentered="1"/>
  <pageMargins left="0.51181102362204722" right="0.51181102362204722" top="0.55118110236220474" bottom="0.55118110236220474" header="0.31496062992125984" footer="0.31496062992125984"/>
  <pageSetup paperSize="9" fitToHeight="0" orientation="portrait" useFirstPageNumber="1" r:id="rId1"/>
  <headerFooter>
    <oddHeader>&amp;L&amp;"Tahoma,Regular"&amp;8&amp;K03+000Srinivasa Rao Masanam</oddHeader>
    <oddFooter>&amp;R&amp;"Tahoma,Regular"&amp;8&amp;K03+000©Elevated Terrains Consulting Engineers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ummary"/>
  <dimension ref="A1:BW43"/>
  <sheetViews>
    <sheetView showGridLines="0" zoomScaleNormal="100" workbookViewId="0">
      <selection activeCell="AV2" sqref="AV2:AY2"/>
    </sheetView>
  </sheetViews>
  <sheetFormatPr defaultColWidth="2.7109375" defaultRowHeight="12" customHeight="1" x14ac:dyDescent="0.2"/>
  <cols>
    <col min="1" max="1" width="1.7109375" style="200" customWidth="1"/>
    <col min="2" max="8" width="2.7109375" style="200"/>
    <col min="9" max="9" width="2.7109375" style="200" customWidth="1"/>
    <col min="10" max="10" width="3.140625" style="200" bestFit="1" customWidth="1"/>
    <col min="11" max="32" width="2.7109375" style="200"/>
    <col min="33" max="33" width="2.7109375" style="200" customWidth="1"/>
    <col min="34" max="35" width="2.7109375" style="200"/>
    <col min="36" max="36" width="2.7109375" style="200" customWidth="1"/>
    <col min="37" max="37" width="2.7109375" style="200"/>
    <col min="38" max="38" width="3.140625" style="200" bestFit="1" customWidth="1"/>
    <col min="39" max="65" width="2.7109375" style="200"/>
    <col min="66" max="66" width="8.5703125" style="200" customWidth="1"/>
    <col min="67" max="67" width="6.5703125" style="200" bestFit="1" customWidth="1"/>
    <col min="68" max="68" width="57.42578125" style="200" customWidth="1"/>
    <col min="69" max="69" width="6.5703125" style="200" bestFit="1" customWidth="1"/>
    <col min="70" max="70" width="11" style="200" customWidth="1"/>
    <col min="71" max="71" width="10.140625" style="200" customWidth="1"/>
    <col min="72" max="72" width="9" style="200" customWidth="1"/>
    <col min="73" max="73" width="9.5703125" style="200" customWidth="1"/>
    <col min="74" max="74" width="9.28515625" style="200" customWidth="1"/>
    <col min="75" max="75" width="9.5703125" style="200" customWidth="1"/>
    <col min="76" max="16384" width="2.7109375" style="200"/>
  </cols>
  <sheetData>
    <row r="1" spans="1:75" ht="12" customHeight="1" x14ac:dyDescent="0.2">
      <c r="A1" s="206"/>
      <c r="B1" s="358" t="s">
        <v>0</v>
      </c>
      <c r="C1" s="358"/>
      <c r="D1" s="358"/>
      <c r="E1" s="358"/>
      <c r="F1" s="207" t="s">
        <v>1</v>
      </c>
      <c r="G1" s="382" t="s">
        <v>78</v>
      </c>
      <c r="H1" s="382"/>
      <c r="I1" s="382"/>
      <c r="J1" s="382"/>
      <c r="K1" s="382"/>
      <c r="L1" s="382"/>
      <c r="M1" s="382"/>
      <c r="N1" s="382"/>
      <c r="O1" s="382"/>
      <c r="P1" s="382"/>
      <c r="Q1" s="382"/>
      <c r="R1" s="382"/>
      <c r="S1" s="382"/>
      <c r="T1" s="382"/>
      <c r="U1" s="382"/>
      <c r="V1" s="382"/>
      <c r="W1" s="382"/>
      <c r="X1" s="382"/>
      <c r="Y1" s="382"/>
      <c r="Z1" s="382"/>
      <c r="AA1" s="382"/>
      <c r="AB1" s="382"/>
      <c r="AC1" s="382"/>
      <c r="AD1" s="382"/>
      <c r="AE1" s="382"/>
      <c r="AF1" s="382"/>
      <c r="AG1" s="382"/>
      <c r="AH1" s="382"/>
      <c r="AI1" s="382"/>
      <c r="AJ1" s="383"/>
      <c r="AK1" s="357" t="s">
        <v>2</v>
      </c>
      <c r="AL1" s="358"/>
      <c r="AM1" s="358"/>
      <c r="AN1" s="207" t="s">
        <v>1</v>
      </c>
      <c r="AO1" s="359" t="s">
        <v>71</v>
      </c>
      <c r="AP1" s="359"/>
      <c r="AQ1" s="360"/>
      <c r="AR1" s="370" t="s">
        <v>3</v>
      </c>
      <c r="AS1" s="370"/>
      <c r="AT1" s="370"/>
      <c r="AU1" s="370"/>
      <c r="AV1" s="370"/>
      <c r="AW1" s="370"/>
      <c r="AX1" s="370"/>
      <c r="AY1" s="370"/>
    </row>
    <row r="2" spans="1:75" ht="12" customHeight="1" x14ac:dyDescent="0.2">
      <c r="A2" s="206"/>
      <c r="B2" s="358" t="s">
        <v>4</v>
      </c>
      <c r="C2" s="358"/>
      <c r="D2" s="358"/>
      <c r="E2" s="358"/>
      <c r="F2" s="207" t="s">
        <v>1</v>
      </c>
      <c r="G2" s="388" t="s">
        <v>77</v>
      </c>
      <c r="H2" s="388"/>
      <c r="I2" s="388"/>
      <c r="J2" s="388"/>
      <c r="K2" s="388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8"/>
      <c r="AE2" s="388"/>
      <c r="AF2" s="388"/>
      <c r="AG2" s="388"/>
      <c r="AH2" s="388"/>
      <c r="AI2" s="388"/>
      <c r="AJ2" s="389"/>
      <c r="AK2" s="357" t="s">
        <v>5</v>
      </c>
      <c r="AL2" s="358"/>
      <c r="AM2" s="358"/>
      <c r="AN2" s="207" t="s">
        <v>1</v>
      </c>
      <c r="AO2" s="359" t="s">
        <v>71</v>
      </c>
      <c r="AP2" s="359"/>
      <c r="AQ2" s="360"/>
      <c r="AR2" s="361" t="s">
        <v>356</v>
      </c>
      <c r="AS2" s="362"/>
      <c r="AT2" s="362"/>
      <c r="AU2" s="362"/>
      <c r="AV2" s="384" t="s">
        <v>357</v>
      </c>
      <c r="AW2" s="385"/>
      <c r="AX2" s="385"/>
      <c r="AY2" s="385"/>
    </row>
    <row r="3" spans="1:75" ht="12" customHeight="1" x14ac:dyDescent="0.2">
      <c r="A3" s="206"/>
      <c r="B3" s="358" t="s">
        <v>8</v>
      </c>
      <c r="C3" s="358"/>
      <c r="D3" s="358"/>
      <c r="E3" s="358"/>
      <c r="F3" s="207" t="s">
        <v>1</v>
      </c>
      <c r="G3" s="382" t="s">
        <v>79</v>
      </c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2"/>
      <c r="AG3" s="382"/>
      <c r="AH3" s="382"/>
      <c r="AI3" s="382"/>
      <c r="AJ3" s="383"/>
      <c r="AK3" s="357" t="s">
        <v>9</v>
      </c>
      <c r="AL3" s="358"/>
      <c r="AM3" s="358"/>
      <c r="AN3" s="207" t="s">
        <v>1</v>
      </c>
      <c r="AO3" s="359" t="s">
        <v>71</v>
      </c>
      <c r="AP3" s="359"/>
      <c r="AQ3" s="360"/>
      <c r="AR3" s="386" t="s">
        <v>358</v>
      </c>
      <c r="AS3" s="387"/>
      <c r="AT3" s="387"/>
      <c r="AU3" s="387"/>
      <c r="AV3" s="385" t="s">
        <v>11</v>
      </c>
      <c r="AW3" s="385"/>
      <c r="AX3" s="385"/>
      <c r="AY3" s="385"/>
    </row>
    <row r="4" spans="1:75" ht="12" customHeight="1" thickBot="1" x14ac:dyDescent="0.25">
      <c r="A4" s="206"/>
      <c r="B4" s="358" t="s">
        <v>10</v>
      </c>
      <c r="C4" s="358"/>
      <c r="D4" s="358"/>
      <c r="E4" s="358"/>
      <c r="F4" s="207" t="s">
        <v>1</v>
      </c>
      <c r="G4" s="380" t="s">
        <v>80</v>
      </c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380"/>
      <c r="AH4" s="380"/>
      <c r="AI4" s="380"/>
      <c r="AJ4" s="381"/>
      <c r="AK4" s="366" t="str">
        <f>'Version History'!TemplateDocVersion</f>
        <v>AISC 360-10 v2.0</v>
      </c>
      <c r="AL4" s="367"/>
      <c r="AM4" s="367"/>
      <c r="AN4" s="367"/>
      <c r="AO4" s="367"/>
      <c r="AP4" s="367"/>
      <c r="AQ4" s="368"/>
      <c r="AR4" s="363" t="s">
        <v>359</v>
      </c>
      <c r="AS4" s="364"/>
      <c r="AT4" s="364"/>
      <c r="AU4" s="364"/>
      <c r="AV4" s="365">
        <f ca="1">TODAY()</f>
        <v>45720</v>
      </c>
      <c r="AW4" s="365"/>
      <c r="AX4" s="365"/>
      <c r="AY4" s="365"/>
      <c r="BA4" s="208" t="s">
        <v>40</v>
      </c>
      <c r="BB4" s="209"/>
      <c r="BC4" s="210"/>
      <c r="BD4" s="210"/>
      <c r="BE4" s="211"/>
    </row>
    <row r="5" spans="1:75" ht="12" customHeight="1" x14ac:dyDescent="0.2">
      <c r="A5" s="229"/>
      <c r="B5" s="192"/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192"/>
      <c r="AQ5" s="192"/>
      <c r="AR5" s="192"/>
      <c r="AS5" s="192"/>
      <c r="AT5" s="192"/>
      <c r="AU5" s="192"/>
      <c r="AV5" s="192"/>
      <c r="AW5" s="192"/>
      <c r="AX5" s="192"/>
      <c r="AY5" s="230"/>
      <c r="BF5" s="212"/>
    </row>
    <row r="6" spans="1:75" ht="12" customHeight="1" x14ac:dyDescent="0.2">
      <c r="A6" s="213"/>
      <c r="B6" s="15" t="s">
        <v>288</v>
      </c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1"/>
      <c r="AI6" s="201"/>
      <c r="AJ6" s="201"/>
      <c r="AK6" s="201"/>
      <c r="AL6" s="201"/>
      <c r="AM6" s="201"/>
      <c r="AN6" s="201"/>
      <c r="AO6" s="201"/>
      <c r="AP6" s="201"/>
      <c r="AQ6" s="201"/>
      <c r="AR6" s="201"/>
      <c r="AS6" s="201"/>
      <c r="AT6" s="201"/>
      <c r="AU6" s="201"/>
      <c r="AV6" s="201"/>
      <c r="AW6" s="201"/>
      <c r="AX6" s="201"/>
      <c r="AY6" s="214"/>
    </row>
    <row r="7" spans="1:75" ht="12" customHeight="1" x14ac:dyDescent="0.2">
      <c r="A7" s="213"/>
      <c r="B7" s="201"/>
      <c r="C7" s="202"/>
      <c r="D7" s="202"/>
      <c r="E7" s="202"/>
      <c r="F7" s="202"/>
      <c r="G7" s="202"/>
      <c r="H7" s="202"/>
      <c r="I7" s="202"/>
      <c r="J7" s="202"/>
      <c r="K7" s="222"/>
      <c r="L7" s="222"/>
      <c r="M7" s="222"/>
      <c r="N7" s="222"/>
      <c r="O7" s="222"/>
      <c r="P7" s="222"/>
      <c r="Q7" s="222"/>
      <c r="R7" s="222"/>
      <c r="S7" s="222"/>
      <c r="T7" s="354" t="s">
        <v>55</v>
      </c>
      <c r="U7" s="349"/>
      <c r="V7" s="349"/>
      <c r="W7" s="349"/>
      <c r="X7" s="349"/>
      <c r="Y7" s="349"/>
      <c r="Z7" s="349"/>
      <c r="AA7" s="349"/>
      <c r="AB7" s="354" t="s">
        <v>57</v>
      </c>
      <c r="AC7" s="349"/>
      <c r="AD7" s="349"/>
      <c r="AE7" s="349"/>
      <c r="AF7" s="349"/>
      <c r="AG7" s="349"/>
      <c r="AH7" s="349"/>
      <c r="AI7" s="349"/>
      <c r="AJ7" s="354" t="s">
        <v>56</v>
      </c>
      <c r="AK7" s="349"/>
      <c r="AL7" s="349"/>
      <c r="AM7" s="349"/>
      <c r="AN7" s="349"/>
      <c r="AO7" s="349"/>
      <c r="AP7" s="349"/>
      <c r="AQ7" s="349"/>
      <c r="AR7" s="201"/>
      <c r="AS7" s="201"/>
      <c r="AT7" s="201"/>
      <c r="AU7" s="201"/>
      <c r="AV7" s="201"/>
      <c r="AW7" s="201"/>
      <c r="AX7" s="201"/>
      <c r="AY7" s="214"/>
    </row>
    <row r="8" spans="1:75" ht="12" customHeight="1" x14ac:dyDescent="0.2">
      <c r="A8" s="213"/>
      <c r="B8" s="348" t="s">
        <v>276</v>
      </c>
      <c r="C8" s="349"/>
      <c r="D8" s="349"/>
      <c r="E8" s="350" t="s">
        <v>278</v>
      </c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1"/>
      <c r="Q8" s="351"/>
      <c r="R8" s="351"/>
      <c r="S8" s="351"/>
      <c r="T8" s="348" t="s">
        <v>279</v>
      </c>
      <c r="U8" s="349"/>
      <c r="V8" s="349"/>
      <c r="W8" s="349"/>
      <c r="X8" s="348" t="s">
        <v>280</v>
      </c>
      <c r="Y8" s="349"/>
      <c r="Z8" s="349"/>
      <c r="AA8" s="349"/>
      <c r="AB8" s="348" t="s">
        <v>281</v>
      </c>
      <c r="AC8" s="349"/>
      <c r="AD8" s="349"/>
      <c r="AE8" s="349"/>
      <c r="AF8" s="348" t="s">
        <v>282</v>
      </c>
      <c r="AG8" s="349"/>
      <c r="AH8" s="349"/>
      <c r="AI8" s="349"/>
      <c r="AJ8" s="348" t="s">
        <v>283</v>
      </c>
      <c r="AK8" s="349"/>
      <c r="AL8" s="349"/>
      <c r="AM8" s="349"/>
      <c r="AN8" s="348" t="s">
        <v>284</v>
      </c>
      <c r="AO8" s="349"/>
      <c r="AP8" s="349"/>
      <c r="AQ8" s="349"/>
      <c r="AR8" s="201"/>
      <c r="AS8" s="201"/>
      <c r="AT8" s="201"/>
      <c r="AU8" s="201"/>
      <c r="AV8" s="201"/>
      <c r="AW8" s="201"/>
      <c r="AX8" s="201"/>
      <c r="AY8" s="214"/>
      <c r="BA8" s="205"/>
      <c r="BB8" s="205"/>
      <c r="BC8" s="205"/>
      <c r="BD8" s="205"/>
      <c r="BE8" s="205"/>
      <c r="BF8" s="205"/>
      <c r="BG8" s="205"/>
      <c r="BH8" s="205"/>
      <c r="BI8" s="205"/>
      <c r="BJ8" s="205"/>
      <c r="BN8" s="343" t="s">
        <v>72</v>
      </c>
      <c r="BO8" s="344"/>
      <c r="BP8" s="345"/>
      <c r="BQ8" s="235"/>
    </row>
    <row r="9" spans="1:75" ht="12" customHeight="1" x14ac:dyDescent="0.2">
      <c r="A9" s="213"/>
      <c r="B9" s="348" t="s">
        <v>44</v>
      </c>
      <c r="C9" s="349"/>
      <c r="D9" s="349"/>
      <c r="E9" s="350" t="s">
        <v>289</v>
      </c>
      <c r="F9" s="351"/>
      <c r="G9" s="351"/>
      <c r="H9" s="351"/>
      <c r="I9" s="351"/>
      <c r="J9" s="351"/>
      <c r="K9" s="351"/>
      <c r="L9" s="351"/>
      <c r="M9" s="351"/>
      <c r="N9" s="351"/>
      <c r="O9" s="351"/>
      <c r="P9" s="351"/>
      <c r="Q9" s="351"/>
      <c r="R9" s="351"/>
      <c r="S9" s="351"/>
      <c r="T9" s="346">
        <f>IF(DesignMethod="ASD",MIN(Calcs!Q164,Calcs!Q178),MIN(Calcs!X164,Calcs!X178))</f>
        <v>541.53853109430383</v>
      </c>
      <c r="U9" s="347"/>
      <c r="V9" s="347"/>
      <c r="W9" s="347"/>
      <c r="X9" s="346">
        <f>IF(DesignMethod="ASD",MIN(Calcs!Q135,Calcs!Q144),MIN(Calcs!X135,Calcs!X144))</f>
        <v>556.05210583690564</v>
      </c>
      <c r="Y9" s="347"/>
      <c r="Z9" s="347"/>
      <c r="AA9" s="347"/>
      <c r="AB9" s="346">
        <f>IF(DesignMethod="ASD",MIN(Calcs!Q207,Calcs!Q219,Calcs!Q258,Calcs!Q287),MIN(Calcs!X207,Calcs!X219,Calcs!X258,Calcs!X287))</f>
        <v>23.241916621570045</v>
      </c>
      <c r="AC9" s="347"/>
      <c r="AD9" s="347"/>
      <c r="AE9" s="347"/>
      <c r="AF9" s="346">
        <f>IF(DesignMethod="ASD",Calcs!Q300,Calcs!X300)</f>
        <v>10.787576044747208</v>
      </c>
      <c r="AG9" s="347"/>
      <c r="AH9" s="347"/>
      <c r="AI9" s="347"/>
      <c r="AJ9" s="346">
        <f>IF(DesignMethod="ASD",Calcs!Q321,Calcs!X321)</f>
        <v>112.88999848365783</v>
      </c>
      <c r="AK9" s="347"/>
      <c r="AL9" s="347"/>
      <c r="AM9" s="347"/>
      <c r="AN9" s="346">
        <f>IF(DesignMethod="ASD",Calcs!Q338,Calcs!X338)</f>
        <v>271.9200058937073</v>
      </c>
      <c r="AO9" s="347"/>
      <c r="AP9" s="347"/>
      <c r="AQ9" s="347"/>
      <c r="AR9" s="201"/>
      <c r="AS9" s="201"/>
      <c r="AT9" s="201"/>
      <c r="AU9" s="201"/>
      <c r="AV9" s="201"/>
      <c r="AW9" s="201"/>
      <c r="AX9" s="201"/>
      <c r="AY9" s="214"/>
      <c r="BA9" s="205"/>
      <c r="BB9" s="205"/>
      <c r="BC9" s="205"/>
      <c r="BD9" s="205"/>
      <c r="BE9" s="205"/>
      <c r="BF9" s="205"/>
      <c r="BG9" s="205"/>
      <c r="BH9" s="205"/>
      <c r="BI9" s="205"/>
      <c r="BJ9" s="205"/>
    </row>
    <row r="10" spans="1:75" ht="12" customHeight="1" x14ac:dyDescent="0.2">
      <c r="A10" s="213"/>
      <c r="B10" s="348" t="s">
        <v>44</v>
      </c>
      <c r="C10" s="349"/>
      <c r="D10" s="349"/>
      <c r="E10" s="350" t="s">
        <v>290</v>
      </c>
      <c r="F10" s="351"/>
      <c r="G10" s="351"/>
      <c r="H10" s="351"/>
      <c r="I10" s="351"/>
      <c r="J10" s="351"/>
      <c r="K10" s="351"/>
      <c r="L10" s="351"/>
      <c r="M10" s="351"/>
      <c r="N10" s="351"/>
      <c r="O10" s="351"/>
      <c r="P10" s="351"/>
      <c r="Q10" s="351"/>
      <c r="R10" s="351"/>
      <c r="S10" s="351"/>
      <c r="T10" s="352">
        <v>1657.4</v>
      </c>
      <c r="U10" s="353"/>
      <c r="V10" s="353"/>
      <c r="W10" s="353"/>
      <c r="X10" s="352">
        <v>2147.73</v>
      </c>
      <c r="Y10" s="353"/>
      <c r="Z10" s="353"/>
      <c r="AA10" s="353"/>
      <c r="AB10" s="352">
        <v>302.45</v>
      </c>
      <c r="AC10" s="353"/>
      <c r="AD10" s="353"/>
      <c r="AE10" s="353"/>
      <c r="AF10" s="352">
        <v>60.68</v>
      </c>
      <c r="AG10" s="353"/>
      <c r="AH10" s="353"/>
      <c r="AI10" s="353"/>
      <c r="AJ10" s="352">
        <v>514.58000000000004</v>
      </c>
      <c r="AK10" s="353"/>
      <c r="AL10" s="353"/>
      <c r="AM10" s="353"/>
      <c r="AN10" s="352">
        <v>753.7</v>
      </c>
      <c r="AO10" s="353"/>
      <c r="AP10" s="353"/>
      <c r="AQ10" s="353"/>
      <c r="AR10" s="201"/>
      <c r="AS10" s="201"/>
      <c r="AT10" s="201"/>
      <c r="AU10" s="201"/>
      <c r="AV10" s="201"/>
      <c r="AW10" s="201"/>
      <c r="AX10" s="201"/>
      <c r="AY10" s="214"/>
      <c r="BA10" s="205"/>
      <c r="BB10" s="205"/>
      <c r="BC10" s="205"/>
      <c r="BD10" s="205"/>
      <c r="BE10" s="205"/>
      <c r="BF10" s="205"/>
      <c r="BG10" s="205"/>
      <c r="BH10" s="205"/>
      <c r="BI10" s="205"/>
      <c r="BJ10" s="205"/>
      <c r="BN10" s="215" t="s">
        <v>13</v>
      </c>
      <c r="BO10" s="216" t="s">
        <v>19</v>
      </c>
      <c r="BP10" s="216" t="s">
        <v>20</v>
      </c>
      <c r="BQ10" s="217" t="s">
        <v>21</v>
      </c>
      <c r="BR10" s="245" t="s">
        <v>34</v>
      </c>
      <c r="BS10" s="217" t="s">
        <v>35</v>
      </c>
      <c r="BT10" s="217" t="s">
        <v>36</v>
      </c>
      <c r="BU10" s="217" t="s">
        <v>37</v>
      </c>
      <c r="BV10" s="217" t="s">
        <v>38</v>
      </c>
      <c r="BW10" s="217" t="s">
        <v>39</v>
      </c>
    </row>
    <row r="11" spans="1:75" ht="12" customHeight="1" x14ac:dyDescent="0.2">
      <c r="A11" s="213"/>
      <c r="B11" s="336" t="s">
        <v>291</v>
      </c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8"/>
      <c r="T11" s="334">
        <f>(T9-T10)/T10</f>
        <v>-0.67326020810045628</v>
      </c>
      <c r="U11" s="335"/>
      <c r="V11" s="335"/>
      <c r="W11" s="335"/>
      <c r="X11" s="334">
        <f t="shared" ref="X11" si="0">(X9-X10)/X10</f>
        <v>-0.74109776096767022</v>
      </c>
      <c r="Y11" s="335"/>
      <c r="Z11" s="335"/>
      <c r="AA11" s="335"/>
      <c r="AB11" s="334">
        <f t="shared" ref="AB11" si="1">(AB9-AB10)/AB10</f>
        <v>-0.9231545160470489</v>
      </c>
      <c r="AC11" s="335"/>
      <c r="AD11" s="335"/>
      <c r="AE11" s="335"/>
      <c r="AF11" s="334">
        <f t="shared" ref="AF11" si="2">(AF9-AF10)/AF10</f>
        <v>-0.82222188456250489</v>
      </c>
      <c r="AG11" s="335"/>
      <c r="AH11" s="335"/>
      <c r="AI11" s="335"/>
      <c r="AJ11" s="334">
        <f t="shared" ref="AJ11" si="3">(AJ9-AJ10)/AJ10</f>
        <v>-0.7806172053253958</v>
      </c>
      <c r="AK11" s="335"/>
      <c r="AL11" s="335"/>
      <c r="AM11" s="335"/>
      <c r="AN11" s="334">
        <f t="shared" ref="AN11" si="4">(AN9-AN10)/AN10</f>
        <v>-0.63921984092648632</v>
      </c>
      <c r="AO11" s="335"/>
      <c r="AP11" s="335"/>
      <c r="AQ11" s="335"/>
      <c r="AR11" s="201"/>
      <c r="AS11" s="201"/>
      <c r="AT11" s="201"/>
      <c r="AU11" s="201"/>
      <c r="AV11" s="201"/>
      <c r="AW11" s="201"/>
      <c r="AX11" s="201"/>
      <c r="AY11" s="214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N11" s="218" t="s">
        <v>22</v>
      </c>
      <c r="BO11" s="218">
        <v>15856</v>
      </c>
      <c r="BP11" s="218" t="s">
        <v>351</v>
      </c>
      <c r="BQ11" s="219">
        <v>12251</v>
      </c>
      <c r="BR11" s="249">
        <v>1312.2670000000001</v>
      </c>
      <c r="BS11" s="249">
        <v>335.26799999999997</v>
      </c>
      <c r="BT11" s="249">
        <v>1.07</v>
      </c>
      <c r="BU11" s="249">
        <v>-8.0000000000000002E-3</v>
      </c>
      <c r="BV11" s="249">
        <v>-0.71099999999999997</v>
      </c>
      <c r="BW11" s="249">
        <v>218.60300000000001</v>
      </c>
    </row>
    <row r="12" spans="1:75" ht="12" customHeight="1" x14ac:dyDescent="0.2">
      <c r="A12" s="213"/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14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20"/>
      <c r="BL12" s="220"/>
      <c r="BN12" s="218" t="s">
        <v>23</v>
      </c>
      <c r="BO12" s="218">
        <v>16983</v>
      </c>
      <c r="BP12" s="218" t="s">
        <v>352</v>
      </c>
      <c r="BQ12" s="219">
        <v>13134</v>
      </c>
      <c r="BR12" s="249">
        <v>-399.44400000000002</v>
      </c>
      <c r="BS12" s="249">
        <v>1.173</v>
      </c>
      <c r="BT12" s="249">
        <v>1E-3</v>
      </c>
      <c r="BU12" s="249">
        <v>-3.0000000000000001E-3</v>
      </c>
      <c r="BV12" s="249">
        <v>-3.1E-2</v>
      </c>
      <c r="BW12" s="249">
        <v>-63.405000000000001</v>
      </c>
    </row>
    <row r="13" spans="1:75" ht="12" customHeight="1" x14ac:dyDescent="0.2">
      <c r="A13" s="213"/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214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N13" s="218" t="s">
        <v>24</v>
      </c>
      <c r="BO13" s="218">
        <v>15910</v>
      </c>
      <c r="BP13" s="218" t="s">
        <v>351</v>
      </c>
      <c r="BQ13" s="219">
        <v>12305</v>
      </c>
      <c r="BR13" s="249">
        <v>1311.8910000000001</v>
      </c>
      <c r="BS13" s="249">
        <v>335.49599999999998</v>
      </c>
      <c r="BT13" s="249">
        <v>-1.206</v>
      </c>
      <c r="BU13" s="249">
        <v>1.2999999999999999E-2</v>
      </c>
      <c r="BV13" s="249">
        <v>0.72399999999999998</v>
      </c>
      <c r="BW13" s="249">
        <v>218.678</v>
      </c>
    </row>
    <row r="14" spans="1:75" s="201" customFormat="1" ht="12" customHeight="1" x14ac:dyDescent="0.2">
      <c r="A14" s="371" t="s">
        <v>275</v>
      </c>
      <c r="B14" s="372"/>
      <c r="C14" s="372"/>
      <c r="D14" s="372"/>
      <c r="E14" s="372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  <c r="U14" s="372"/>
      <c r="V14" s="372"/>
      <c r="W14" s="372"/>
      <c r="X14" s="372"/>
      <c r="Y14" s="372"/>
      <c r="Z14" s="372"/>
      <c r="AA14" s="372"/>
      <c r="AB14" s="372"/>
      <c r="AC14" s="372"/>
      <c r="AD14" s="372"/>
      <c r="AE14" s="372"/>
      <c r="AF14" s="372"/>
      <c r="AG14" s="372"/>
      <c r="AH14" s="372"/>
      <c r="AI14" s="372"/>
      <c r="AJ14" s="372"/>
      <c r="AK14" s="372"/>
      <c r="AL14" s="372"/>
      <c r="AM14" s="372"/>
      <c r="AN14" s="372"/>
      <c r="AO14" s="372"/>
      <c r="AP14" s="372"/>
      <c r="AQ14" s="372"/>
      <c r="AR14" s="372"/>
      <c r="AS14" s="372"/>
      <c r="AT14" s="372"/>
      <c r="AU14" s="372"/>
      <c r="AV14" s="372"/>
      <c r="AW14" s="372"/>
      <c r="AX14" s="372"/>
      <c r="AY14" s="373"/>
      <c r="BA14" s="205"/>
      <c r="BB14" s="205"/>
      <c r="BC14" s="205"/>
      <c r="BD14" s="205"/>
      <c r="BE14" s="205"/>
      <c r="BF14" s="205"/>
      <c r="BG14" s="205"/>
      <c r="BH14" s="205"/>
      <c r="BI14" s="205"/>
      <c r="BJ14" s="205"/>
      <c r="BN14" s="218" t="s">
        <v>25</v>
      </c>
      <c r="BO14" s="218">
        <v>16372</v>
      </c>
      <c r="BP14" s="218" t="s">
        <v>353</v>
      </c>
      <c r="BQ14" s="219">
        <v>12322</v>
      </c>
      <c r="BR14" s="249">
        <v>-39.573999999999998</v>
      </c>
      <c r="BS14" s="249">
        <v>-297.07299999999998</v>
      </c>
      <c r="BT14" s="249">
        <v>0.23799999999999999</v>
      </c>
      <c r="BU14" s="249">
        <v>1.7999999999999999E-2</v>
      </c>
      <c r="BV14" s="249">
        <v>0.50800000000000001</v>
      </c>
      <c r="BW14" s="249">
        <v>182.16800000000001</v>
      </c>
    </row>
    <row r="15" spans="1:75" s="201" customFormat="1" ht="12" customHeight="1" x14ac:dyDescent="0.2">
      <c r="A15" s="374"/>
      <c r="B15" s="375"/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5"/>
      <c r="W15" s="375"/>
      <c r="X15" s="375"/>
      <c r="Y15" s="375"/>
      <c r="Z15" s="375"/>
      <c r="AA15" s="375"/>
      <c r="AB15" s="375"/>
      <c r="AC15" s="375"/>
      <c r="AD15" s="375"/>
      <c r="AE15" s="375"/>
      <c r="AF15" s="375"/>
      <c r="AG15" s="375"/>
      <c r="AH15" s="375"/>
      <c r="AI15" s="375"/>
      <c r="AJ15" s="375"/>
      <c r="AK15" s="375"/>
      <c r="AL15" s="375"/>
      <c r="AM15" s="375"/>
      <c r="AN15" s="375"/>
      <c r="AO15" s="375"/>
      <c r="AP15" s="375"/>
      <c r="AQ15" s="375"/>
      <c r="AR15" s="375"/>
      <c r="AS15" s="375"/>
      <c r="AT15" s="375"/>
      <c r="AU15" s="375"/>
      <c r="AV15" s="375"/>
      <c r="AW15" s="375"/>
      <c r="AX15" s="375"/>
      <c r="AY15" s="376"/>
      <c r="BA15" s="205"/>
      <c r="BB15" s="205"/>
      <c r="BC15" s="205"/>
      <c r="BD15" s="205"/>
      <c r="BE15" s="205"/>
      <c r="BF15" s="205"/>
      <c r="BG15" s="205"/>
      <c r="BH15" s="205"/>
      <c r="BI15" s="205"/>
      <c r="BJ15" s="205"/>
      <c r="BN15" s="218" t="s">
        <v>26</v>
      </c>
      <c r="BO15" s="218">
        <v>8558</v>
      </c>
      <c r="BP15" s="218" t="s">
        <v>354</v>
      </c>
      <c r="BQ15" s="219">
        <v>6746</v>
      </c>
      <c r="BR15" s="249">
        <v>304.61099999999999</v>
      </c>
      <c r="BS15" s="249">
        <v>3.4929999999999999</v>
      </c>
      <c r="BT15" s="249">
        <v>14.164999999999999</v>
      </c>
      <c r="BU15" s="249">
        <v>1.7999999999999999E-2</v>
      </c>
      <c r="BV15" s="249">
        <v>2.38</v>
      </c>
      <c r="BW15" s="249">
        <v>0.38900000000000001</v>
      </c>
    </row>
    <row r="16" spans="1:75" s="201" customFormat="1" ht="12" customHeight="1" x14ac:dyDescent="0.2">
      <c r="A16" s="374"/>
      <c r="B16" s="375"/>
      <c r="C16" s="375"/>
      <c r="D16" s="375"/>
      <c r="E16" s="375"/>
      <c r="F16" s="375"/>
      <c r="G16" s="375"/>
      <c r="H16" s="375"/>
      <c r="I16" s="375"/>
      <c r="J16" s="375"/>
      <c r="K16" s="375"/>
      <c r="L16" s="375"/>
      <c r="M16" s="375"/>
      <c r="N16" s="375"/>
      <c r="O16" s="375"/>
      <c r="P16" s="375"/>
      <c r="Q16" s="375"/>
      <c r="R16" s="375"/>
      <c r="S16" s="375"/>
      <c r="T16" s="375"/>
      <c r="U16" s="375"/>
      <c r="V16" s="375"/>
      <c r="W16" s="375"/>
      <c r="X16" s="375"/>
      <c r="Y16" s="375"/>
      <c r="Z16" s="375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375"/>
      <c r="AV16" s="375"/>
      <c r="AW16" s="375"/>
      <c r="AX16" s="375"/>
      <c r="AY16" s="376"/>
      <c r="BA16" s="205"/>
      <c r="BB16" s="205"/>
      <c r="BC16" s="205"/>
      <c r="BD16" s="205"/>
      <c r="BE16" s="205"/>
      <c r="BF16" s="205"/>
      <c r="BG16" s="205"/>
      <c r="BH16" s="205"/>
      <c r="BI16" s="205"/>
      <c r="BJ16" s="205"/>
      <c r="BN16" s="218" t="s">
        <v>27</v>
      </c>
      <c r="BO16" s="218">
        <v>8150</v>
      </c>
      <c r="BP16" s="218" t="s">
        <v>354</v>
      </c>
      <c r="BQ16" s="219">
        <v>6580</v>
      </c>
      <c r="BR16" s="249">
        <v>179.352</v>
      </c>
      <c r="BS16" s="249">
        <v>-0.95799999999999996</v>
      </c>
      <c r="BT16" s="249">
        <v>-15.058999999999999</v>
      </c>
      <c r="BU16" s="249">
        <v>8.9999999999999993E-3</v>
      </c>
      <c r="BV16" s="249">
        <v>4.5179999999999998</v>
      </c>
      <c r="BW16" s="249">
        <v>-0.28699999999999998</v>
      </c>
    </row>
    <row r="17" spans="1:75" s="201" customFormat="1" ht="12" customHeight="1" x14ac:dyDescent="0.2">
      <c r="A17" s="377"/>
      <c r="B17" s="378"/>
      <c r="C17" s="378"/>
      <c r="D17" s="378"/>
      <c r="E17" s="378"/>
      <c r="F17" s="378"/>
      <c r="G17" s="378"/>
      <c r="H17" s="378"/>
      <c r="I17" s="378"/>
      <c r="J17" s="378"/>
      <c r="K17" s="378"/>
      <c r="L17" s="378"/>
      <c r="M17" s="378"/>
      <c r="N17" s="378"/>
      <c r="O17" s="378"/>
      <c r="P17" s="378"/>
      <c r="Q17" s="378"/>
      <c r="R17" s="378"/>
      <c r="S17" s="378"/>
      <c r="T17" s="378"/>
      <c r="U17" s="378"/>
      <c r="V17" s="378"/>
      <c r="W17" s="378"/>
      <c r="X17" s="378"/>
      <c r="Y17" s="378"/>
      <c r="Z17" s="378"/>
      <c r="AA17" s="378"/>
      <c r="AB17" s="378"/>
      <c r="AC17" s="378"/>
      <c r="AD17" s="378"/>
      <c r="AE17" s="378"/>
      <c r="AF17" s="378"/>
      <c r="AG17" s="378"/>
      <c r="AH17" s="378"/>
      <c r="AI17" s="378"/>
      <c r="AJ17" s="378"/>
      <c r="AK17" s="378"/>
      <c r="AL17" s="378"/>
      <c r="AM17" s="378"/>
      <c r="AN17" s="378"/>
      <c r="AO17" s="378"/>
      <c r="AP17" s="378"/>
      <c r="AQ17" s="378"/>
      <c r="AR17" s="378"/>
      <c r="AS17" s="378"/>
      <c r="AT17" s="378"/>
      <c r="AU17" s="378"/>
      <c r="AV17" s="378"/>
      <c r="AW17" s="378"/>
      <c r="AX17" s="378"/>
      <c r="AY17" s="379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  <c r="BN17" s="218" t="s">
        <v>28</v>
      </c>
      <c r="BO17" s="218">
        <v>8226</v>
      </c>
      <c r="BP17" s="218" t="s">
        <v>355</v>
      </c>
      <c r="BQ17" s="219">
        <v>6631</v>
      </c>
      <c r="BR17" s="249">
        <v>-102.973</v>
      </c>
      <c r="BS17" s="249">
        <v>107.605</v>
      </c>
      <c r="BT17" s="249">
        <v>0.46</v>
      </c>
      <c r="BU17" s="249">
        <v>1.2629999999999999</v>
      </c>
      <c r="BV17" s="249">
        <v>-1.161</v>
      </c>
      <c r="BW17" s="249">
        <v>-730.60400000000004</v>
      </c>
    </row>
    <row r="18" spans="1:75" s="201" customFormat="1" ht="12" customHeight="1" x14ac:dyDescent="0.2">
      <c r="A18" s="203"/>
      <c r="AY18" s="204"/>
      <c r="BN18" s="218" t="s">
        <v>29</v>
      </c>
      <c r="BO18" s="218">
        <v>8170</v>
      </c>
      <c r="BP18" s="218" t="s">
        <v>355</v>
      </c>
      <c r="BQ18" s="219">
        <v>6592</v>
      </c>
      <c r="BR18" s="249">
        <v>-89.847999999999999</v>
      </c>
      <c r="BS18" s="249">
        <v>-13.103</v>
      </c>
      <c r="BT18" s="249">
        <v>-6.0149999999999997</v>
      </c>
      <c r="BU18" s="249">
        <v>-2.0299999999999998</v>
      </c>
      <c r="BV18" s="249">
        <v>-2.4449999999999998</v>
      </c>
      <c r="BW18" s="249">
        <v>-1030.6479999999999</v>
      </c>
    </row>
    <row r="19" spans="1:75" s="201" customFormat="1" ht="12" customHeight="1" x14ac:dyDescent="0.2">
      <c r="A19" s="203"/>
      <c r="B19" s="201" t="s">
        <v>66</v>
      </c>
      <c r="AI19" s="221" t="s">
        <v>1</v>
      </c>
      <c r="AJ19" s="369">
        <v>0.95</v>
      </c>
      <c r="AK19" s="369"/>
      <c r="AL19" s="369"/>
      <c r="AM19" s="369"/>
      <c r="AY19" s="204"/>
      <c r="BN19" s="218" t="s">
        <v>30</v>
      </c>
      <c r="BO19" s="218">
        <v>15938</v>
      </c>
      <c r="BP19" s="218" t="s">
        <v>351</v>
      </c>
      <c r="BQ19" s="219">
        <v>12244</v>
      </c>
      <c r="BR19" s="249">
        <v>284.66000000000003</v>
      </c>
      <c r="BS19" s="249">
        <v>3.8570000000000002</v>
      </c>
      <c r="BT19" s="249">
        <v>4.7839999999999998</v>
      </c>
      <c r="BU19" s="249">
        <v>3.5999999999999997E-2</v>
      </c>
      <c r="BV19" s="249">
        <v>17.123999999999999</v>
      </c>
      <c r="BW19" s="249">
        <v>-13.803000000000001</v>
      </c>
    </row>
    <row r="20" spans="1:75" s="201" customFormat="1" ht="12" customHeight="1" x14ac:dyDescent="0.2">
      <c r="A20" s="203"/>
      <c r="B20" s="246" t="s">
        <v>301</v>
      </c>
      <c r="AI20" s="221" t="s">
        <v>1</v>
      </c>
      <c r="AJ20" s="369">
        <v>0.1</v>
      </c>
      <c r="AK20" s="369"/>
      <c r="AL20" s="369"/>
      <c r="AM20" s="369"/>
      <c r="AY20" s="204"/>
      <c r="BN20" s="218" t="s">
        <v>31</v>
      </c>
      <c r="BO20" s="218">
        <v>15978</v>
      </c>
      <c r="BP20" s="218" t="s">
        <v>351</v>
      </c>
      <c r="BQ20" s="219">
        <v>12304</v>
      </c>
      <c r="BR20" s="249">
        <v>296.55</v>
      </c>
      <c r="BS20" s="249">
        <v>0.66900000000000004</v>
      </c>
      <c r="BT20" s="249">
        <v>-4.7889999999999997</v>
      </c>
      <c r="BU20" s="249">
        <v>1.9E-2</v>
      </c>
      <c r="BV20" s="249">
        <v>-17.149000000000001</v>
      </c>
      <c r="BW20" s="249">
        <v>-2.3980000000000001</v>
      </c>
    </row>
    <row r="21" spans="1:75" s="201" customFormat="1" ht="12" customHeight="1" x14ac:dyDescent="0.2">
      <c r="A21" s="203"/>
      <c r="B21" s="15" t="s">
        <v>277</v>
      </c>
      <c r="AY21" s="204"/>
      <c r="BN21" s="218" t="s">
        <v>32</v>
      </c>
      <c r="BO21" s="218">
        <v>15850</v>
      </c>
      <c r="BP21" s="218" t="s">
        <v>351</v>
      </c>
      <c r="BQ21" s="219">
        <v>12245</v>
      </c>
      <c r="BR21" s="249">
        <v>1312.194</v>
      </c>
      <c r="BS21" s="249">
        <v>335.36700000000002</v>
      </c>
      <c r="BT21" s="249">
        <v>-0.55500000000000005</v>
      </c>
      <c r="BU21" s="249">
        <v>-8.9999999999999993E-3</v>
      </c>
      <c r="BV21" s="249">
        <v>0.252</v>
      </c>
      <c r="BW21" s="249">
        <v>218.892</v>
      </c>
    </row>
    <row r="22" spans="1:75" s="201" customFormat="1" ht="12" customHeight="1" x14ac:dyDescent="0.2">
      <c r="A22" s="203"/>
      <c r="C22" s="202"/>
      <c r="D22" s="202"/>
      <c r="E22" s="202"/>
      <c r="F22" s="202"/>
      <c r="G22" s="202"/>
      <c r="H22" s="202"/>
      <c r="I22" s="202"/>
      <c r="J22" s="202"/>
      <c r="K22" s="222"/>
      <c r="L22" s="222"/>
      <c r="M22" s="222"/>
      <c r="N22" s="222"/>
      <c r="O22" s="222"/>
      <c r="P22" s="222"/>
      <c r="Q22" s="222"/>
      <c r="R22" s="222"/>
      <c r="S22" s="222"/>
      <c r="T22" s="354" t="s">
        <v>55</v>
      </c>
      <c r="U22" s="349"/>
      <c r="V22" s="349"/>
      <c r="W22" s="349"/>
      <c r="X22" s="349"/>
      <c r="Y22" s="349"/>
      <c r="Z22" s="349"/>
      <c r="AA22" s="349"/>
      <c r="AB22" s="354" t="s">
        <v>57</v>
      </c>
      <c r="AC22" s="349"/>
      <c r="AD22" s="349"/>
      <c r="AE22" s="349"/>
      <c r="AF22" s="349"/>
      <c r="AG22" s="349"/>
      <c r="AH22" s="349"/>
      <c r="AI22" s="349"/>
      <c r="AJ22" s="354" t="s">
        <v>56</v>
      </c>
      <c r="AK22" s="349"/>
      <c r="AL22" s="349"/>
      <c r="AM22" s="349"/>
      <c r="AN22" s="349"/>
      <c r="AO22" s="349"/>
      <c r="AP22" s="349"/>
      <c r="AQ22" s="349"/>
      <c r="AR22" s="354" t="s">
        <v>285</v>
      </c>
      <c r="AS22" s="349"/>
      <c r="AT22" s="354" t="s">
        <v>286</v>
      </c>
      <c r="AU22" s="349"/>
      <c r="AV22" s="349"/>
      <c r="AW22" s="349"/>
      <c r="AX22" s="349"/>
      <c r="AY22" s="349"/>
      <c r="BN22" s="218" t="s">
        <v>33</v>
      </c>
      <c r="BO22" s="218">
        <v>8171</v>
      </c>
      <c r="BP22" s="218" t="s">
        <v>355</v>
      </c>
      <c r="BQ22" s="219">
        <v>6597</v>
      </c>
      <c r="BR22" s="249">
        <v>7.1909999999999998</v>
      </c>
      <c r="BS22" s="249">
        <v>8.9429999999999996</v>
      </c>
      <c r="BT22" s="249">
        <v>-10.406000000000001</v>
      </c>
      <c r="BU22" s="249">
        <v>-1.958</v>
      </c>
      <c r="BV22" s="249">
        <v>-10.304</v>
      </c>
      <c r="BW22" s="249">
        <v>-1106.008</v>
      </c>
    </row>
    <row r="23" spans="1:75" s="201" customFormat="1" ht="12" customHeight="1" x14ac:dyDescent="0.2">
      <c r="A23" s="203"/>
      <c r="B23" s="348" t="s">
        <v>276</v>
      </c>
      <c r="C23" s="349"/>
      <c r="D23" s="349"/>
      <c r="E23" s="350" t="s">
        <v>278</v>
      </c>
      <c r="F23" s="351"/>
      <c r="G23" s="351"/>
      <c r="H23" s="351"/>
      <c r="I23" s="351"/>
      <c r="J23" s="351"/>
      <c r="K23" s="351"/>
      <c r="L23" s="351"/>
      <c r="M23" s="351"/>
      <c r="N23" s="351"/>
      <c r="O23" s="351"/>
      <c r="P23" s="351"/>
      <c r="Q23" s="351"/>
      <c r="R23" s="351"/>
      <c r="S23" s="351"/>
      <c r="T23" s="348" t="s">
        <v>279</v>
      </c>
      <c r="U23" s="349"/>
      <c r="V23" s="349"/>
      <c r="W23" s="349"/>
      <c r="X23" s="348" t="s">
        <v>280</v>
      </c>
      <c r="Y23" s="349"/>
      <c r="Z23" s="349"/>
      <c r="AA23" s="349"/>
      <c r="AB23" s="348" t="s">
        <v>281</v>
      </c>
      <c r="AC23" s="349"/>
      <c r="AD23" s="349"/>
      <c r="AE23" s="349"/>
      <c r="AF23" s="348" t="s">
        <v>282</v>
      </c>
      <c r="AG23" s="349"/>
      <c r="AH23" s="349"/>
      <c r="AI23" s="349"/>
      <c r="AJ23" s="348" t="s">
        <v>283</v>
      </c>
      <c r="AK23" s="349"/>
      <c r="AL23" s="349"/>
      <c r="AM23" s="349"/>
      <c r="AN23" s="348" t="s">
        <v>284</v>
      </c>
      <c r="AO23" s="349"/>
      <c r="AP23" s="349"/>
      <c r="AQ23" s="349"/>
      <c r="AR23" s="349"/>
      <c r="AS23" s="349"/>
      <c r="AT23" s="339" t="s">
        <v>287</v>
      </c>
      <c r="AU23" s="340"/>
      <c r="AV23" s="340"/>
      <c r="AW23" s="339" t="s">
        <v>295</v>
      </c>
      <c r="AX23" s="340"/>
      <c r="AY23" s="340"/>
      <c r="BA23" s="205"/>
      <c r="BB23" s="205"/>
      <c r="BC23" s="205"/>
      <c r="BD23" s="205"/>
      <c r="BE23" s="205"/>
      <c r="BN23" s="236">
        <v>1</v>
      </c>
      <c r="BO23" s="236">
        <v>2</v>
      </c>
      <c r="BP23" s="236">
        <v>3</v>
      </c>
      <c r="BQ23" s="237">
        <v>4</v>
      </c>
      <c r="BR23" s="237">
        <v>5</v>
      </c>
      <c r="BS23" s="237">
        <v>6</v>
      </c>
      <c r="BT23" s="237">
        <v>7</v>
      </c>
      <c r="BU23" s="237">
        <v>8</v>
      </c>
      <c r="BV23" s="237">
        <v>9</v>
      </c>
      <c r="BW23" s="237">
        <v>10</v>
      </c>
    </row>
    <row r="24" spans="1:75" s="201" customFormat="1" ht="12" customHeight="1" x14ac:dyDescent="0.2">
      <c r="A24" s="203"/>
      <c r="B24" s="348">
        <f t="shared" ref="B24:B35" si="5">BO11</f>
        <v>15856</v>
      </c>
      <c r="C24" s="349"/>
      <c r="D24" s="349"/>
      <c r="E24" s="350" t="str">
        <f t="shared" ref="E24:E35" si="6">BP11</f>
        <v>173 LC 10(1)</v>
      </c>
      <c r="F24" s="351"/>
      <c r="G24" s="351"/>
      <c r="H24" s="351"/>
      <c r="I24" s="351"/>
      <c r="J24" s="351"/>
      <c r="K24" s="351"/>
      <c r="L24" s="351"/>
      <c r="M24" s="351"/>
      <c r="N24" s="351"/>
      <c r="O24" s="351"/>
      <c r="P24" s="351"/>
      <c r="Q24" s="351"/>
      <c r="R24" s="351"/>
      <c r="S24" s="351"/>
      <c r="T24" s="339">
        <f t="shared" ref="T24:T35" si="7">IF(BR11&gt;0,ABS(BR11),"-")</f>
        <v>1312.2670000000001</v>
      </c>
      <c r="U24" s="340"/>
      <c r="V24" s="340"/>
      <c r="W24" s="340"/>
      <c r="X24" s="339" t="str">
        <f t="shared" ref="X24:X35" si="8">IF(BR11&lt;0,ABS(BR11),"-")</f>
        <v>-</v>
      </c>
      <c r="Y24" s="340"/>
      <c r="Z24" s="340"/>
      <c r="AA24" s="340"/>
      <c r="AB24" s="339">
        <f t="shared" ref="AB24:AB35" si="9">ABS(BW11)</f>
        <v>218.60300000000001</v>
      </c>
      <c r="AC24" s="340"/>
      <c r="AD24" s="340"/>
      <c r="AE24" s="340"/>
      <c r="AF24" s="339">
        <f t="shared" ref="AF24:AF35" si="10">ABS(BV11)</f>
        <v>0.71099999999999997</v>
      </c>
      <c r="AG24" s="340"/>
      <c r="AH24" s="340"/>
      <c r="AI24" s="340"/>
      <c r="AJ24" s="339">
        <f t="shared" ref="AJ24:AJ35" si="11">ABS(BS11)</f>
        <v>335.26799999999997</v>
      </c>
      <c r="AK24" s="340"/>
      <c r="AL24" s="340"/>
      <c r="AM24" s="340"/>
      <c r="AN24" s="339">
        <f t="shared" ref="AN24:AN35" si="12">ABS(BT11)</f>
        <v>1.07</v>
      </c>
      <c r="AO24" s="340"/>
      <c r="AP24" s="340"/>
      <c r="AQ24" s="340"/>
      <c r="AR24" s="355">
        <f>IF(T24="-",X24/$X$9,T24/$T$9)</f>
        <v>2.4232200012587493</v>
      </c>
      <c r="AS24" s="356"/>
      <c r="AT24" s="339">
        <f>IF(AR24&gt;=0.2,IF(T24="-",X24/$X$9,T24/$T$9)+(8/9)*(AB24/$AB$9+AF24/$AF$9),IF(T24="-",X24/(2*$X$9),T24/(2*$T$9))+(AB24/$AB$9+AF24/$AF$9))</f>
        <v>10.842294464306153</v>
      </c>
      <c r="AU24" s="340"/>
      <c r="AV24" s="340"/>
      <c r="AW24" s="339" t="str">
        <f>IF(AR24&gt;=0.2,"H1-1a","H1-1b")</f>
        <v>H1-1a</v>
      </c>
      <c r="AX24" s="340"/>
      <c r="AY24" s="340"/>
      <c r="BA24" s="205"/>
      <c r="BB24" s="205"/>
      <c r="BC24" s="205"/>
      <c r="BD24" s="205"/>
      <c r="BE24" s="205"/>
      <c r="BW24" s="201" t="str">
        <f>MID(BP22,1,3)</f>
        <v>209</v>
      </c>
    </row>
    <row r="25" spans="1:75" s="201" customFormat="1" ht="12" customHeight="1" x14ac:dyDescent="0.2">
      <c r="A25" s="203"/>
      <c r="B25" s="348">
        <f t="shared" si="5"/>
        <v>16983</v>
      </c>
      <c r="C25" s="349"/>
      <c r="D25" s="349"/>
      <c r="E25" s="350" t="str">
        <f t="shared" si="6"/>
        <v>145 LC 6(5)</v>
      </c>
      <c r="F25" s="351"/>
      <c r="G25" s="351"/>
      <c r="H25" s="351"/>
      <c r="I25" s="351"/>
      <c r="J25" s="351"/>
      <c r="K25" s="351"/>
      <c r="L25" s="351"/>
      <c r="M25" s="351"/>
      <c r="N25" s="351"/>
      <c r="O25" s="351"/>
      <c r="P25" s="351"/>
      <c r="Q25" s="351"/>
      <c r="R25" s="351"/>
      <c r="S25" s="351"/>
      <c r="T25" s="339" t="str">
        <f t="shared" si="7"/>
        <v>-</v>
      </c>
      <c r="U25" s="340"/>
      <c r="V25" s="340"/>
      <c r="W25" s="340"/>
      <c r="X25" s="339">
        <f t="shared" si="8"/>
        <v>399.44400000000002</v>
      </c>
      <c r="Y25" s="340"/>
      <c r="Z25" s="340"/>
      <c r="AA25" s="340"/>
      <c r="AB25" s="339">
        <f t="shared" si="9"/>
        <v>63.405000000000001</v>
      </c>
      <c r="AC25" s="340"/>
      <c r="AD25" s="340"/>
      <c r="AE25" s="340"/>
      <c r="AF25" s="339">
        <f t="shared" si="10"/>
        <v>3.1E-2</v>
      </c>
      <c r="AG25" s="340"/>
      <c r="AH25" s="340"/>
      <c r="AI25" s="340"/>
      <c r="AJ25" s="339">
        <f t="shared" si="11"/>
        <v>1.173</v>
      </c>
      <c r="AK25" s="340"/>
      <c r="AL25" s="340"/>
      <c r="AM25" s="340"/>
      <c r="AN25" s="339">
        <f t="shared" si="12"/>
        <v>1E-3</v>
      </c>
      <c r="AO25" s="340"/>
      <c r="AP25" s="340"/>
      <c r="AQ25" s="340"/>
      <c r="AR25" s="355">
        <f t="shared" ref="AR25:AR35" si="13">IF(T25="-",X25/$X$9,T25/$T$9)</f>
        <v>0.71835713920874888</v>
      </c>
      <c r="AS25" s="356"/>
      <c r="AT25" s="339">
        <f t="shared" ref="AT25:AT35" si="14">IF(AR25&gt;=0.2,IF(T25="-",X25/$X$9,T25/$T$9)+(8/9)*(AB25/$AB$9+AF25/$AF$9),IF(T25="-",X25/(2*$X$9),T25/(2*$T$9))+(AB25/$AB$9+AF25/$AF$9))</f>
        <v>3.1458406199272044</v>
      </c>
      <c r="AU25" s="340"/>
      <c r="AV25" s="340"/>
      <c r="AW25" s="339" t="str">
        <f t="shared" ref="AW25:AW35" si="15">IF(AR25&gt;=0.2,"H1-1a","H1-1b")</f>
        <v>H1-1a</v>
      </c>
      <c r="AX25" s="340"/>
      <c r="AY25" s="340"/>
      <c r="BA25" s="205"/>
      <c r="BB25" s="205"/>
      <c r="BC25" s="205"/>
      <c r="BD25" s="205"/>
      <c r="BE25" s="205"/>
      <c r="BN25" s="17" t="s">
        <v>59</v>
      </c>
      <c r="BO25" s="201" t="s">
        <v>60</v>
      </c>
    </row>
    <row r="26" spans="1:75" s="201" customFormat="1" ht="12" customHeight="1" x14ac:dyDescent="0.2">
      <c r="A26" s="203"/>
      <c r="B26" s="348">
        <f t="shared" si="5"/>
        <v>15910</v>
      </c>
      <c r="C26" s="349"/>
      <c r="D26" s="349"/>
      <c r="E26" s="350" t="str">
        <f t="shared" si="6"/>
        <v>173 LC 10(1)</v>
      </c>
      <c r="F26" s="351"/>
      <c r="G26" s="351"/>
      <c r="H26" s="351"/>
      <c r="I26" s="351"/>
      <c r="J26" s="351"/>
      <c r="K26" s="351"/>
      <c r="L26" s="351"/>
      <c r="M26" s="351"/>
      <c r="N26" s="351"/>
      <c r="O26" s="351"/>
      <c r="P26" s="351"/>
      <c r="Q26" s="351"/>
      <c r="R26" s="351"/>
      <c r="S26" s="351"/>
      <c r="T26" s="339">
        <f t="shared" si="7"/>
        <v>1311.8910000000001</v>
      </c>
      <c r="U26" s="340"/>
      <c r="V26" s="340"/>
      <c r="W26" s="340"/>
      <c r="X26" s="339" t="str">
        <f t="shared" si="8"/>
        <v>-</v>
      </c>
      <c r="Y26" s="340"/>
      <c r="Z26" s="340"/>
      <c r="AA26" s="340"/>
      <c r="AB26" s="339">
        <f t="shared" si="9"/>
        <v>218.678</v>
      </c>
      <c r="AC26" s="340"/>
      <c r="AD26" s="340"/>
      <c r="AE26" s="340"/>
      <c r="AF26" s="339">
        <f t="shared" si="10"/>
        <v>0.72399999999999998</v>
      </c>
      <c r="AG26" s="340"/>
      <c r="AH26" s="340"/>
      <c r="AI26" s="340"/>
      <c r="AJ26" s="339">
        <f t="shared" si="11"/>
        <v>335.49599999999998</v>
      </c>
      <c r="AK26" s="340"/>
      <c r="AL26" s="340"/>
      <c r="AM26" s="340"/>
      <c r="AN26" s="339">
        <f t="shared" si="12"/>
        <v>1.206</v>
      </c>
      <c r="AO26" s="340"/>
      <c r="AP26" s="340"/>
      <c r="AQ26" s="340"/>
      <c r="AR26" s="355">
        <f t="shared" si="13"/>
        <v>2.4225256831661102</v>
      </c>
      <c r="AS26" s="356"/>
      <c r="AT26" s="339">
        <f t="shared" si="14"/>
        <v>10.845539718092096</v>
      </c>
      <c r="AU26" s="340"/>
      <c r="AV26" s="340"/>
      <c r="AW26" s="339" t="str">
        <f t="shared" si="15"/>
        <v>H1-1a</v>
      </c>
      <c r="AX26" s="340"/>
      <c r="AY26" s="340"/>
      <c r="BA26" s="205"/>
      <c r="BB26" s="205"/>
      <c r="BC26" s="205"/>
      <c r="BD26" s="205"/>
      <c r="BE26" s="205"/>
      <c r="BO26" s="201" t="s">
        <v>61</v>
      </c>
    </row>
    <row r="27" spans="1:75" s="201" customFormat="1" ht="12" customHeight="1" x14ac:dyDescent="0.2">
      <c r="A27" s="203"/>
      <c r="B27" s="348">
        <f t="shared" si="5"/>
        <v>16372</v>
      </c>
      <c r="C27" s="349"/>
      <c r="D27" s="349"/>
      <c r="E27" s="350" t="str">
        <f t="shared" si="6"/>
        <v>177 LC 10(5)</v>
      </c>
      <c r="F27" s="351"/>
      <c r="G27" s="351"/>
      <c r="H27" s="351"/>
      <c r="I27" s="351"/>
      <c r="J27" s="351"/>
      <c r="K27" s="351"/>
      <c r="L27" s="351"/>
      <c r="M27" s="351"/>
      <c r="N27" s="351"/>
      <c r="O27" s="351"/>
      <c r="P27" s="351"/>
      <c r="Q27" s="351"/>
      <c r="R27" s="351"/>
      <c r="S27" s="351"/>
      <c r="T27" s="339" t="str">
        <f t="shared" si="7"/>
        <v>-</v>
      </c>
      <c r="U27" s="340"/>
      <c r="V27" s="340"/>
      <c r="W27" s="340"/>
      <c r="X27" s="339">
        <f t="shared" si="8"/>
        <v>39.573999999999998</v>
      </c>
      <c r="Y27" s="340"/>
      <c r="Z27" s="340"/>
      <c r="AA27" s="340"/>
      <c r="AB27" s="339">
        <f t="shared" si="9"/>
        <v>182.16800000000001</v>
      </c>
      <c r="AC27" s="340"/>
      <c r="AD27" s="340"/>
      <c r="AE27" s="340"/>
      <c r="AF27" s="339">
        <f t="shared" si="10"/>
        <v>0.50800000000000001</v>
      </c>
      <c r="AG27" s="340"/>
      <c r="AH27" s="340"/>
      <c r="AI27" s="340"/>
      <c r="AJ27" s="339">
        <f t="shared" si="11"/>
        <v>297.07299999999998</v>
      </c>
      <c r="AK27" s="340"/>
      <c r="AL27" s="340"/>
      <c r="AM27" s="340"/>
      <c r="AN27" s="339">
        <f t="shared" si="12"/>
        <v>0.23799999999999999</v>
      </c>
      <c r="AO27" s="340"/>
      <c r="AP27" s="340"/>
      <c r="AQ27" s="340"/>
      <c r="AR27" s="355">
        <f t="shared" si="13"/>
        <v>7.1169589296740041E-2</v>
      </c>
      <c r="AS27" s="356"/>
      <c r="AT27" s="339">
        <f t="shared" si="14"/>
        <v>7.9205838221013574</v>
      </c>
      <c r="AU27" s="340"/>
      <c r="AV27" s="340"/>
      <c r="AW27" s="339" t="str">
        <f t="shared" si="15"/>
        <v>H1-1b</v>
      </c>
      <c r="AX27" s="340"/>
      <c r="AY27" s="340"/>
      <c r="BA27" s="205"/>
      <c r="BB27" s="205"/>
      <c r="BC27" s="205"/>
      <c r="BD27" s="205"/>
      <c r="BE27" s="205"/>
    </row>
    <row r="28" spans="1:75" s="201" customFormat="1" ht="12" customHeight="1" x14ac:dyDescent="0.2">
      <c r="A28" s="203"/>
      <c r="B28" s="348">
        <f t="shared" si="5"/>
        <v>8558</v>
      </c>
      <c r="C28" s="349"/>
      <c r="D28" s="349"/>
      <c r="E28" s="350" t="str">
        <f t="shared" si="6"/>
        <v>205 LC 14(1)</v>
      </c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1"/>
      <c r="R28" s="351"/>
      <c r="S28" s="351"/>
      <c r="T28" s="339">
        <f t="shared" si="7"/>
        <v>304.61099999999999</v>
      </c>
      <c r="U28" s="340"/>
      <c r="V28" s="340"/>
      <c r="W28" s="340"/>
      <c r="X28" s="339" t="str">
        <f t="shared" si="8"/>
        <v>-</v>
      </c>
      <c r="Y28" s="340"/>
      <c r="Z28" s="340"/>
      <c r="AA28" s="340"/>
      <c r="AB28" s="339">
        <f t="shared" si="9"/>
        <v>0.38900000000000001</v>
      </c>
      <c r="AC28" s="340"/>
      <c r="AD28" s="340"/>
      <c r="AE28" s="340"/>
      <c r="AF28" s="339">
        <f t="shared" si="10"/>
        <v>2.38</v>
      </c>
      <c r="AG28" s="340"/>
      <c r="AH28" s="340"/>
      <c r="AI28" s="340"/>
      <c r="AJ28" s="339">
        <f t="shared" si="11"/>
        <v>3.4929999999999999</v>
      </c>
      <c r="AK28" s="340"/>
      <c r="AL28" s="340"/>
      <c r="AM28" s="340"/>
      <c r="AN28" s="339">
        <f t="shared" si="12"/>
        <v>14.164999999999999</v>
      </c>
      <c r="AO28" s="340"/>
      <c r="AP28" s="340"/>
      <c r="AQ28" s="340"/>
      <c r="AR28" s="355">
        <f t="shared" si="13"/>
        <v>0.56249183116197299</v>
      </c>
      <c r="AS28" s="356"/>
      <c r="AT28" s="339">
        <f t="shared" si="14"/>
        <v>0.77347953849441986</v>
      </c>
      <c r="AU28" s="340"/>
      <c r="AV28" s="340"/>
      <c r="AW28" s="339" t="str">
        <f t="shared" si="15"/>
        <v>H1-1a</v>
      </c>
      <c r="AX28" s="340"/>
      <c r="AY28" s="340"/>
    </row>
    <row r="29" spans="1:75" s="201" customFormat="1" ht="12" customHeight="1" x14ac:dyDescent="0.2">
      <c r="A29" s="203"/>
      <c r="B29" s="348">
        <f t="shared" si="5"/>
        <v>8150</v>
      </c>
      <c r="C29" s="349"/>
      <c r="D29" s="349"/>
      <c r="E29" s="350" t="str">
        <f t="shared" si="6"/>
        <v>205 LC 14(1)</v>
      </c>
      <c r="F29" s="351"/>
      <c r="G29" s="351"/>
      <c r="H29" s="351"/>
      <c r="I29" s="351"/>
      <c r="J29" s="351"/>
      <c r="K29" s="351"/>
      <c r="L29" s="351"/>
      <c r="M29" s="351"/>
      <c r="N29" s="351"/>
      <c r="O29" s="351"/>
      <c r="P29" s="351"/>
      <c r="Q29" s="351"/>
      <c r="R29" s="351"/>
      <c r="S29" s="351"/>
      <c r="T29" s="339">
        <f t="shared" si="7"/>
        <v>179.352</v>
      </c>
      <c r="U29" s="340"/>
      <c r="V29" s="340"/>
      <c r="W29" s="340"/>
      <c r="X29" s="339" t="str">
        <f t="shared" si="8"/>
        <v>-</v>
      </c>
      <c r="Y29" s="340"/>
      <c r="Z29" s="340"/>
      <c r="AA29" s="340"/>
      <c r="AB29" s="339">
        <f t="shared" si="9"/>
        <v>0.28699999999999998</v>
      </c>
      <c r="AC29" s="340"/>
      <c r="AD29" s="340"/>
      <c r="AE29" s="340"/>
      <c r="AF29" s="339">
        <f t="shared" si="10"/>
        <v>4.5179999999999998</v>
      </c>
      <c r="AG29" s="340"/>
      <c r="AH29" s="340"/>
      <c r="AI29" s="340"/>
      <c r="AJ29" s="339">
        <f t="shared" si="11"/>
        <v>0.95799999999999996</v>
      </c>
      <c r="AK29" s="340"/>
      <c r="AL29" s="340"/>
      <c r="AM29" s="340"/>
      <c r="AN29" s="339">
        <f t="shared" si="12"/>
        <v>15.058999999999999</v>
      </c>
      <c r="AO29" s="340"/>
      <c r="AP29" s="340"/>
      <c r="AQ29" s="340"/>
      <c r="AR29" s="355">
        <f t="shared" si="13"/>
        <v>0.33118973018887099</v>
      </c>
      <c r="AS29" s="356"/>
      <c r="AT29" s="339">
        <f t="shared" si="14"/>
        <v>0.71444617758181717</v>
      </c>
      <c r="AU29" s="340"/>
      <c r="AV29" s="340"/>
      <c r="AW29" s="339" t="str">
        <f t="shared" si="15"/>
        <v>H1-1a</v>
      </c>
      <c r="AX29" s="340"/>
      <c r="AY29" s="340"/>
    </row>
    <row r="30" spans="1:75" s="201" customFormat="1" ht="12" customHeight="1" x14ac:dyDescent="0.2">
      <c r="A30" s="203"/>
      <c r="B30" s="348">
        <f t="shared" si="5"/>
        <v>8226</v>
      </c>
      <c r="C30" s="349"/>
      <c r="D30" s="349"/>
      <c r="E30" s="350" t="str">
        <f t="shared" si="6"/>
        <v>209 LC 14(5)</v>
      </c>
      <c r="F30" s="351"/>
      <c r="G30" s="351"/>
      <c r="H30" s="351"/>
      <c r="I30" s="351"/>
      <c r="J30" s="351"/>
      <c r="K30" s="351"/>
      <c r="L30" s="351"/>
      <c r="M30" s="351"/>
      <c r="N30" s="351"/>
      <c r="O30" s="351"/>
      <c r="P30" s="351"/>
      <c r="Q30" s="351"/>
      <c r="R30" s="351"/>
      <c r="S30" s="351"/>
      <c r="T30" s="339" t="str">
        <f t="shared" si="7"/>
        <v>-</v>
      </c>
      <c r="U30" s="340"/>
      <c r="V30" s="340"/>
      <c r="W30" s="340"/>
      <c r="X30" s="339">
        <f t="shared" si="8"/>
        <v>102.973</v>
      </c>
      <c r="Y30" s="340"/>
      <c r="Z30" s="340"/>
      <c r="AA30" s="340"/>
      <c r="AB30" s="339">
        <f t="shared" si="9"/>
        <v>730.60400000000004</v>
      </c>
      <c r="AC30" s="340"/>
      <c r="AD30" s="340"/>
      <c r="AE30" s="340"/>
      <c r="AF30" s="339">
        <f t="shared" si="10"/>
        <v>1.161</v>
      </c>
      <c r="AG30" s="340"/>
      <c r="AH30" s="340"/>
      <c r="AI30" s="340"/>
      <c r="AJ30" s="339">
        <f t="shared" si="11"/>
        <v>107.605</v>
      </c>
      <c r="AK30" s="340"/>
      <c r="AL30" s="340"/>
      <c r="AM30" s="340"/>
      <c r="AN30" s="339">
        <f t="shared" si="12"/>
        <v>0.46</v>
      </c>
      <c r="AO30" s="340"/>
      <c r="AP30" s="340"/>
      <c r="AQ30" s="340"/>
      <c r="AR30" s="355">
        <f t="shared" si="13"/>
        <v>0.18518588261619276</v>
      </c>
      <c r="AS30" s="356"/>
      <c r="AT30" s="339">
        <f t="shared" si="14"/>
        <v>31.63497369589691</v>
      </c>
      <c r="AU30" s="340"/>
      <c r="AV30" s="340"/>
      <c r="AW30" s="339" t="str">
        <f t="shared" si="15"/>
        <v>H1-1b</v>
      </c>
      <c r="AX30" s="340"/>
      <c r="AY30" s="340"/>
    </row>
    <row r="31" spans="1:75" s="201" customFormat="1" ht="12" customHeight="1" x14ac:dyDescent="0.2">
      <c r="A31" s="203"/>
      <c r="B31" s="348">
        <f t="shared" si="5"/>
        <v>8170</v>
      </c>
      <c r="C31" s="349"/>
      <c r="D31" s="349"/>
      <c r="E31" s="350" t="str">
        <f t="shared" si="6"/>
        <v>209 LC 14(5)</v>
      </c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1"/>
      <c r="Q31" s="351"/>
      <c r="R31" s="351"/>
      <c r="S31" s="351"/>
      <c r="T31" s="339" t="str">
        <f t="shared" si="7"/>
        <v>-</v>
      </c>
      <c r="U31" s="340"/>
      <c r="V31" s="340"/>
      <c r="W31" s="340"/>
      <c r="X31" s="339">
        <f t="shared" si="8"/>
        <v>89.847999999999999</v>
      </c>
      <c r="Y31" s="340"/>
      <c r="Z31" s="340"/>
      <c r="AA31" s="340"/>
      <c r="AB31" s="339">
        <f t="shared" si="9"/>
        <v>1030.6479999999999</v>
      </c>
      <c r="AC31" s="340"/>
      <c r="AD31" s="340"/>
      <c r="AE31" s="340"/>
      <c r="AF31" s="339">
        <f t="shared" si="10"/>
        <v>2.4449999999999998</v>
      </c>
      <c r="AG31" s="340"/>
      <c r="AH31" s="340"/>
      <c r="AI31" s="340"/>
      <c r="AJ31" s="339">
        <f t="shared" si="11"/>
        <v>13.103</v>
      </c>
      <c r="AK31" s="340"/>
      <c r="AL31" s="340"/>
      <c r="AM31" s="340"/>
      <c r="AN31" s="339">
        <f t="shared" si="12"/>
        <v>6.0149999999999997</v>
      </c>
      <c r="AO31" s="340"/>
      <c r="AP31" s="340"/>
      <c r="AQ31" s="340"/>
      <c r="AR31" s="355">
        <f t="shared" si="13"/>
        <v>0.16158197956065848</v>
      </c>
      <c r="AS31" s="356"/>
      <c r="AT31" s="339">
        <f t="shared" si="14"/>
        <v>44.651804147304759</v>
      </c>
      <c r="AU31" s="340"/>
      <c r="AV31" s="340"/>
      <c r="AW31" s="339" t="str">
        <f t="shared" si="15"/>
        <v>H1-1b</v>
      </c>
      <c r="AX31" s="340"/>
      <c r="AY31" s="340"/>
    </row>
    <row r="32" spans="1:75" s="201" customFormat="1" ht="12" customHeight="1" x14ac:dyDescent="0.2">
      <c r="A32" s="203"/>
      <c r="B32" s="348">
        <f t="shared" si="5"/>
        <v>15938</v>
      </c>
      <c r="C32" s="349"/>
      <c r="D32" s="349"/>
      <c r="E32" s="350" t="str">
        <f t="shared" si="6"/>
        <v>173 LC 10(1)</v>
      </c>
      <c r="F32" s="351"/>
      <c r="G32" s="351"/>
      <c r="H32" s="351"/>
      <c r="I32" s="351"/>
      <c r="J32" s="351"/>
      <c r="K32" s="351"/>
      <c r="L32" s="351"/>
      <c r="M32" s="351"/>
      <c r="N32" s="351"/>
      <c r="O32" s="351"/>
      <c r="P32" s="351"/>
      <c r="Q32" s="351"/>
      <c r="R32" s="351"/>
      <c r="S32" s="351"/>
      <c r="T32" s="339">
        <f t="shared" si="7"/>
        <v>284.66000000000003</v>
      </c>
      <c r="U32" s="340"/>
      <c r="V32" s="340"/>
      <c r="W32" s="340"/>
      <c r="X32" s="339" t="str">
        <f t="shared" si="8"/>
        <v>-</v>
      </c>
      <c r="Y32" s="340"/>
      <c r="Z32" s="340"/>
      <c r="AA32" s="340"/>
      <c r="AB32" s="339">
        <f t="shared" si="9"/>
        <v>13.803000000000001</v>
      </c>
      <c r="AC32" s="340"/>
      <c r="AD32" s="340"/>
      <c r="AE32" s="340"/>
      <c r="AF32" s="339">
        <f t="shared" si="10"/>
        <v>17.123999999999999</v>
      </c>
      <c r="AG32" s="340"/>
      <c r="AH32" s="340"/>
      <c r="AI32" s="340"/>
      <c r="AJ32" s="339">
        <f t="shared" si="11"/>
        <v>3.8570000000000002</v>
      </c>
      <c r="AK32" s="340"/>
      <c r="AL32" s="340"/>
      <c r="AM32" s="340"/>
      <c r="AN32" s="339">
        <f t="shared" si="12"/>
        <v>4.7839999999999998</v>
      </c>
      <c r="AO32" s="340"/>
      <c r="AP32" s="340"/>
      <c r="AQ32" s="340"/>
      <c r="AR32" s="355">
        <f t="shared" si="13"/>
        <v>0.52565050066664443</v>
      </c>
      <c r="AS32" s="356"/>
      <c r="AT32" s="339">
        <f t="shared" si="14"/>
        <v>2.4645531869220689</v>
      </c>
      <c r="AU32" s="340"/>
      <c r="AV32" s="340"/>
      <c r="AW32" s="339" t="str">
        <f t="shared" si="15"/>
        <v>H1-1a</v>
      </c>
      <c r="AX32" s="340"/>
      <c r="AY32" s="340"/>
    </row>
    <row r="33" spans="1:51" s="201" customFormat="1" ht="12" customHeight="1" x14ac:dyDescent="0.2">
      <c r="A33" s="203"/>
      <c r="B33" s="348">
        <f t="shared" si="5"/>
        <v>15978</v>
      </c>
      <c r="C33" s="349"/>
      <c r="D33" s="349"/>
      <c r="E33" s="350" t="str">
        <f t="shared" si="6"/>
        <v>173 LC 10(1)</v>
      </c>
      <c r="F33" s="351"/>
      <c r="G33" s="351"/>
      <c r="H33" s="351"/>
      <c r="I33" s="351"/>
      <c r="J33" s="351"/>
      <c r="K33" s="351"/>
      <c r="L33" s="351"/>
      <c r="M33" s="351"/>
      <c r="N33" s="351"/>
      <c r="O33" s="351"/>
      <c r="P33" s="351"/>
      <c r="Q33" s="351"/>
      <c r="R33" s="351"/>
      <c r="S33" s="351"/>
      <c r="T33" s="339">
        <f t="shared" si="7"/>
        <v>296.55</v>
      </c>
      <c r="U33" s="340"/>
      <c r="V33" s="340"/>
      <c r="W33" s="340"/>
      <c r="X33" s="339" t="str">
        <f t="shared" si="8"/>
        <v>-</v>
      </c>
      <c r="Y33" s="340"/>
      <c r="Z33" s="340"/>
      <c r="AA33" s="340"/>
      <c r="AB33" s="339">
        <f t="shared" si="9"/>
        <v>2.3980000000000001</v>
      </c>
      <c r="AC33" s="340"/>
      <c r="AD33" s="340"/>
      <c r="AE33" s="340"/>
      <c r="AF33" s="339">
        <f t="shared" si="10"/>
        <v>17.149000000000001</v>
      </c>
      <c r="AG33" s="340"/>
      <c r="AH33" s="340"/>
      <c r="AI33" s="340"/>
      <c r="AJ33" s="339">
        <f t="shared" si="11"/>
        <v>0.66900000000000004</v>
      </c>
      <c r="AK33" s="340"/>
      <c r="AL33" s="340"/>
      <c r="AM33" s="340"/>
      <c r="AN33" s="339">
        <f t="shared" si="12"/>
        <v>4.7889999999999997</v>
      </c>
      <c r="AO33" s="340"/>
      <c r="AP33" s="340"/>
      <c r="AQ33" s="340"/>
      <c r="AR33" s="355">
        <f t="shared" si="13"/>
        <v>0.54760646375568545</v>
      </c>
      <c r="AS33" s="356"/>
      <c r="AT33" s="339">
        <f t="shared" si="14"/>
        <v>2.0523840306769747</v>
      </c>
      <c r="AU33" s="340"/>
      <c r="AV33" s="340"/>
      <c r="AW33" s="339" t="str">
        <f t="shared" si="15"/>
        <v>H1-1a</v>
      </c>
      <c r="AX33" s="340"/>
      <c r="AY33" s="340"/>
    </row>
    <row r="34" spans="1:51" s="201" customFormat="1" ht="12" customHeight="1" x14ac:dyDescent="0.2">
      <c r="A34" s="203"/>
      <c r="B34" s="348">
        <f t="shared" si="5"/>
        <v>15850</v>
      </c>
      <c r="C34" s="349"/>
      <c r="D34" s="349"/>
      <c r="E34" s="350" t="str">
        <f t="shared" si="6"/>
        <v>173 LC 10(1)</v>
      </c>
      <c r="F34" s="351"/>
      <c r="G34" s="351"/>
      <c r="H34" s="351"/>
      <c r="I34" s="351"/>
      <c r="J34" s="351"/>
      <c r="K34" s="351"/>
      <c r="L34" s="351"/>
      <c r="M34" s="351"/>
      <c r="N34" s="351"/>
      <c r="O34" s="351"/>
      <c r="P34" s="351"/>
      <c r="Q34" s="351"/>
      <c r="R34" s="351"/>
      <c r="S34" s="351"/>
      <c r="T34" s="339">
        <f t="shared" si="7"/>
        <v>1312.194</v>
      </c>
      <c r="U34" s="340"/>
      <c r="V34" s="340"/>
      <c r="W34" s="340"/>
      <c r="X34" s="339" t="str">
        <f t="shared" si="8"/>
        <v>-</v>
      </c>
      <c r="Y34" s="340"/>
      <c r="Z34" s="340"/>
      <c r="AA34" s="340"/>
      <c r="AB34" s="339">
        <f t="shared" si="9"/>
        <v>218.892</v>
      </c>
      <c r="AC34" s="340"/>
      <c r="AD34" s="340"/>
      <c r="AE34" s="340"/>
      <c r="AF34" s="339">
        <f t="shared" si="10"/>
        <v>0.252</v>
      </c>
      <c r="AG34" s="340"/>
      <c r="AH34" s="340"/>
      <c r="AI34" s="340"/>
      <c r="AJ34" s="339">
        <f t="shared" si="11"/>
        <v>335.36700000000002</v>
      </c>
      <c r="AK34" s="340"/>
      <c r="AL34" s="340"/>
      <c r="AM34" s="340"/>
      <c r="AN34" s="339">
        <f t="shared" si="12"/>
        <v>0.55500000000000005</v>
      </c>
      <c r="AO34" s="340"/>
      <c r="AP34" s="340"/>
      <c r="AQ34" s="340"/>
      <c r="AR34" s="355">
        <f t="shared" si="13"/>
        <v>2.4230852001396994</v>
      </c>
      <c r="AS34" s="356"/>
      <c r="AT34" s="339">
        <f t="shared" si="14"/>
        <v>10.815391204308115</v>
      </c>
      <c r="AU34" s="340"/>
      <c r="AV34" s="340"/>
      <c r="AW34" s="339" t="str">
        <f t="shared" si="15"/>
        <v>H1-1a</v>
      </c>
      <c r="AX34" s="340"/>
      <c r="AY34" s="340"/>
    </row>
    <row r="35" spans="1:51" s="201" customFormat="1" ht="12" customHeight="1" x14ac:dyDescent="0.2">
      <c r="A35" s="203"/>
      <c r="B35" s="348">
        <f t="shared" si="5"/>
        <v>8171</v>
      </c>
      <c r="C35" s="349"/>
      <c r="D35" s="349"/>
      <c r="E35" s="350" t="str">
        <f t="shared" si="6"/>
        <v>209 LC 14(5)</v>
      </c>
      <c r="F35" s="351"/>
      <c r="G35" s="351"/>
      <c r="H35" s="351"/>
      <c r="I35" s="351"/>
      <c r="J35" s="351"/>
      <c r="K35" s="351"/>
      <c r="L35" s="351"/>
      <c r="M35" s="351"/>
      <c r="N35" s="351"/>
      <c r="O35" s="351"/>
      <c r="P35" s="351"/>
      <c r="Q35" s="351"/>
      <c r="R35" s="351"/>
      <c r="S35" s="351"/>
      <c r="T35" s="339">
        <f t="shared" si="7"/>
        <v>7.1909999999999998</v>
      </c>
      <c r="U35" s="340"/>
      <c r="V35" s="340"/>
      <c r="W35" s="340"/>
      <c r="X35" s="339" t="str">
        <f t="shared" si="8"/>
        <v>-</v>
      </c>
      <c r="Y35" s="340"/>
      <c r="Z35" s="340"/>
      <c r="AA35" s="340"/>
      <c r="AB35" s="339">
        <f t="shared" si="9"/>
        <v>1106.008</v>
      </c>
      <c r="AC35" s="340"/>
      <c r="AD35" s="340"/>
      <c r="AE35" s="340"/>
      <c r="AF35" s="339">
        <f t="shared" si="10"/>
        <v>10.304</v>
      </c>
      <c r="AG35" s="340"/>
      <c r="AH35" s="340"/>
      <c r="AI35" s="340"/>
      <c r="AJ35" s="339">
        <f t="shared" si="11"/>
        <v>8.9429999999999996</v>
      </c>
      <c r="AK35" s="340"/>
      <c r="AL35" s="340"/>
      <c r="AM35" s="340"/>
      <c r="AN35" s="339">
        <f t="shared" si="12"/>
        <v>10.406000000000001</v>
      </c>
      <c r="AO35" s="340"/>
      <c r="AP35" s="340"/>
      <c r="AQ35" s="340"/>
      <c r="AR35" s="355">
        <f t="shared" si="13"/>
        <v>1.32788335217236E-2</v>
      </c>
      <c r="AS35" s="356"/>
      <c r="AT35" s="339">
        <f t="shared" si="14"/>
        <v>48.548593449034811</v>
      </c>
      <c r="AU35" s="340"/>
      <c r="AV35" s="340"/>
      <c r="AW35" s="339" t="str">
        <f t="shared" si="15"/>
        <v>H1-1b</v>
      </c>
      <c r="AX35" s="340"/>
      <c r="AY35" s="340"/>
    </row>
    <row r="36" spans="1:51" s="201" customFormat="1" ht="12" customHeight="1" x14ac:dyDescent="0.2">
      <c r="A36" s="203"/>
      <c r="AT36" s="339">
        <f>MAX(AT24:AV35)</f>
        <v>48.548593449034811</v>
      </c>
      <c r="AU36" s="340"/>
      <c r="AV36" s="340"/>
      <c r="AW36" s="339" t="str">
        <f>INDEX(AW24:AW35,MATCH(AT36,AT24:AT35,0))</f>
        <v>H1-1b</v>
      </c>
      <c r="AX36" s="340"/>
      <c r="AY36" s="340"/>
    </row>
    <row r="37" spans="1:51" s="201" customFormat="1" ht="12" customHeight="1" x14ac:dyDescent="0.2">
      <c r="A37" s="203"/>
      <c r="B37" s="17" t="s">
        <v>292</v>
      </c>
      <c r="AY37" s="204"/>
    </row>
    <row r="38" spans="1:51" s="201" customFormat="1" ht="12" customHeight="1" x14ac:dyDescent="0.2">
      <c r="A38" s="203"/>
      <c r="B38" s="201" t="s">
        <v>293</v>
      </c>
      <c r="H38" s="221" t="s">
        <v>1</v>
      </c>
      <c r="I38" s="341">
        <f>INDEX(B24:B35,MATCH(AT36,AT24:AT35,0))</f>
        <v>8171</v>
      </c>
      <c r="J38" s="342"/>
      <c r="K38" s="342"/>
      <c r="L38" s="342"/>
      <c r="M38" s="342"/>
      <c r="AY38" s="204"/>
    </row>
    <row r="39" spans="1:51" s="201" customFormat="1" ht="12" customHeight="1" x14ac:dyDescent="0.2">
      <c r="A39" s="203"/>
      <c r="B39" s="201" t="s">
        <v>294</v>
      </c>
      <c r="H39" s="221" t="s">
        <v>1</v>
      </c>
      <c r="I39" s="341" t="str">
        <f>MID(INDEX(E24:E35,MATCH(AT36,AT24:AT35,0)),1,3)</f>
        <v>209</v>
      </c>
      <c r="J39" s="342"/>
      <c r="K39" s="342"/>
      <c r="L39" s="342"/>
      <c r="M39" s="342"/>
      <c r="AY39" s="204"/>
    </row>
    <row r="40" spans="1:51" s="201" customFormat="1" ht="12" customHeight="1" x14ac:dyDescent="0.2">
      <c r="A40" s="203"/>
      <c r="B40" s="201" t="s">
        <v>278</v>
      </c>
      <c r="H40" s="221" t="s">
        <v>1</v>
      </c>
      <c r="I40" s="228" t="str">
        <f>MID(INDEX(E24:E35,MATCH(AT36,AT24:AT35,0)),4,100)</f>
        <v xml:space="preserve"> LC 14(5)</v>
      </c>
      <c r="AY40" s="204"/>
    </row>
    <row r="41" spans="1:51" s="201" customFormat="1" ht="12" customHeight="1" x14ac:dyDescent="0.2">
      <c r="A41" s="203"/>
      <c r="AY41" s="204"/>
    </row>
    <row r="42" spans="1:51" s="201" customFormat="1" ht="12" customHeight="1" thickBot="1" x14ac:dyDescent="0.25">
      <c r="A42" s="203"/>
      <c r="B42" s="78" t="s">
        <v>58</v>
      </c>
      <c r="C42" s="227"/>
      <c r="D42" s="227"/>
      <c r="E42" s="227"/>
      <c r="F42" s="227" t="str">
        <f>IF(AT36&lt;=AJ19,"Member Design is Satisfactory",IF(AT36&lt;=1.05*AJ19,"Member Design is Satisfactory, Since Utilization is Within 5% Margin of the Limiting Value","Member Design is NOT Satisfactory"))</f>
        <v>Member Design is NOT Satisfactory</v>
      </c>
      <c r="G42" s="22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227"/>
      <c r="W42" s="227"/>
      <c r="X42" s="227"/>
      <c r="Y42" s="227"/>
      <c r="Z42" s="227"/>
      <c r="AA42" s="227"/>
      <c r="AB42" s="223"/>
      <c r="AK42" s="231"/>
      <c r="AL42" s="227"/>
      <c r="AM42" s="227"/>
      <c r="AN42" s="227"/>
      <c r="AO42" s="227"/>
      <c r="AP42" s="227"/>
      <c r="AQ42" s="227"/>
      <c r="AR42" s="227"/>
      <c r="AS42" s="227"/>
      <c r="AT42" s="227"/>
      <c r="AU42" s="227"/>
      <c r="AV42" s="227"/>
      <c r="AW42" s="227"/>
      <c r="AX42" s="232" t="str">
        <f>CONCATENATE(SectionDatabase," : ",SectionType," : ",SectionProfile)</f>
        <v>European : IPE Sections : IPEO300x49.3</v>
      </c>
      <c r="AY42" s="204"/>
    </row>
    <row r="43" spans="1:51" s="201" customFormat="1" ht="12" customHeight="1" x14ac:dyDescent="0.2">
      <c r="A43" s="224"/>
      <c r="B43" s="225"/>
      <c r="C43" s="225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  <c r="S43" s="225"/>
      <c r="T43" s="225"/>
      <c r="U43" s="225"/>
      <c r="V43" s="225"/>
      <c r="W43" s="225"/>
      <c r="X43" s="225"/>
      <c r="Y43" s="225"/>
      <c r="Z43" s="225"/>
      <c r="AA43" s="225"/>
      <c r="AB43" s="225"/>
      <c r="AC43" s="225"/>
      <c r="AD43" s="225"/>
      <c r="AE43" s="225"/>
      <c r="AF43" s="225"/>
      <c r="AG43" s="225"/>
      <c r="AH43" s="225"/>
      <c r="AI43" s="225"/>
      <c r="AJ43" s="225"/>
      <c r="AK43" s="225"/>
      <c r="AL43" s="225"/>
      <c r="AM43" s="225"/>
      <c r="AN43" s="225"/>
      <c r="AO43" s="225"/>
      <c r="AP43" s="225"/>
      <c r="AQ43" s="225"/>
      <c r="AR43" s="225"/>
      <c r="AS43" s="225"/>
      <c r="AT43" s="225"/>
      <c r="AU43" s="225"/>
      <c r="AV43" s="225"/>
      <c r="AW43" s="225"/>
      <c r="AX43" s="225"/>
      <c r="AY43" s="226"/>
    </row>
  </sheetData>
  <sheetProtection algorithmName="SHA-512" hashValue="xJ5WW20cfEZRqhwjNUsoKlfDQJ4WstbcODv79QFThBN10LVLIr//tG68Znr1D2wN4o1+f8+bOAyvMVyVerkmqA==" saltValue="T+DncL4Us9kBhFB2FAnnsA==" spinCount="100000" sheet="1" objects="1" scenarios="1"/>
  <mergeCells count="211">
    <mergeCell ref="AJ20:AM20"/>
    <mergeCell ref="AJ19:AM19"/>
    <mergeCell ref="AB25:AE25"/>
    <mergeCell ref="AB26:AE26"/>
    <mergeCell ref="AJ34:AM34"/>
    <mergeCell ref="AN34:AQ34"/>
    <mergeCell ref="AR34:AS34"/>
    <mergeCell ref="AO1:AQ1"/>
    <mergeCell ref="AR1:AY1"/>
    <mergeCell ref="A14:AY17"/>
    <mergeCell ref="B4:E4"/>
    <mergeCell ref="G4:AJ4"/>
    <mergeCell ref="B1:E1"/>
    <mergeCell ref="G1:AJ1"/>
    <mergeCell ref="AK1:AM1"/>
    <mergeCell ref="AV2:AY2"/>
    <mergeCell ref="B3:E3"/>
    <mergeCell ref="G3:AJ3"/>
    <mergeCell ref="AK3:AM3"/>
    <mergeCell ref="AO3:AQ3"/>
    <mergeCell ref="AR3:AU3"/>
    <mergeCell ref="AV3:AY3"/>
    <mergeCell ref="B2:E2"/>
    <mergeCell ref="G2:AJ2"/>
    <mergeCell ref="AK2:AM2"/>
    <mergeCell ref="AO2:AQ2"/>
    <mergeCell ref="AR2:AU2"/>
    <mergeCell ref="AR4:AU4"/>
    <mergeCell ref="AV4:AY4"/>
    <mergeCell ref="AK4:AQ4"/>
    <mergeCell ref="B34:D34"/>
    <mergeCell ref="E34:S34"/>
    <mergeCell ref="T34:W34"/>
    <mergeCell ref="X34:AA34"/>
    <mergeCell ref="AB34:AE34"/>
    <mergeCell ref="AF34:AI34"/>
    <mergeCell ref="B32:D32"/>
    <mergeCell ref="E32:S32"/>
    <mergeCell ref="T32:W32"/>
    <mergeCell ref="X32:AA32"/>
    <mergeCell ref="AB32:AE32"/>
    <mergeCell ref="AF32:AI32"/>
    <mergeCell ref="B9:D9"/>
    <mergeCell ref="E9:S9"/>
    <mergeCell ref="T9:W9"/>
    <mergeCell ref="X9:AA9"/>
    <mergeCell ref="AB9:AE9"/>
    <mergeCell ref="AF9:AI9"/>
    <mergeCell ref="T11:W11"/>
    <mergeCell ref="X11:AA11"/>
    <mergeCell ref="AB11:AE11"/>
    <mergeCell ref="AF11:AI11"/>
    <mergeCell ref="B25:D25"/>
    <mergeCell ref="B26:D26"/>
    <mergeCell ref="B27:D27"/>
    <mergeCell ref="T23:W23"/>
    <mergeCell ref="X23:AA23"/>
    <mergeCell ref="AF27:AI27"/>
    <mergeCell ref="E23:S23"/>
    <mergeCell ref="E24:S24"/>
    <mergeCell ref="E25:S25"/>
    <mergeCell ref="E26:S26"/>
    <mergeCell ref="E27:S27"/>
    <mergeCell ref="B23:D23"/>
    <mergeCell ref="B24:D24"/>
    <mergeCell ref="AB23:AE23"/>
    <mergeCell ref="AF23:AI23"/>
    <mergeCell ref="AB27:AE27"/>
    <mergeCell ref="T22:AA22"/>
    <mergeCell ref="AB22:AI22"/>
    <mergeCell ref="AT27:AV27"/>
    <mergeCell ref="AW27:AY27"/>
    <mergeCell ref="AN23:AQ23"/>
    <mergeCell ref="T24:W24"/>
    <mergeCell ref="X24:AA24"/>
    <mergeCell ref="AB24:AE24"/>
    <mergeCell ref="AF24:AI24"/>
    <mergeCell ref="AJ24:AM24"/>
    <mergeCell ref="AN24:AQ24"/>
    <mergeCell ref="T25:W25"/>
    <mergeCell ref="X25:AA25"/>
    <mergeCell ref="AF25:AI25"/>
    <mergeCell ref="AJ25:AM25"/>
    <mergeCell ref="AN25:AQ25"/>
    <mergeCell ref="T26:W26"/>
    <mergeCell ref="X26:AA26"/>
    <mergeCell ref="AF26:AI26"/>
    <mergeCell ref="AJ26:AM26"/>
    <mergeCell ref="AN26:AQ26"/>
    <mergeCell ref="T27:W27"/>
    <mergeCell ref="X27:AA27"/>
    <mergeCell ref="AJ23:AM23"/>
    <mergeCell ref="AJ27:AM27"/>
    <mergeCell ref="AN27:AQ27"/>
    <mergeCell ref="AT22:AY22"/>
    <mergeCell ref="AT23:AV23"/>
    <mergeCell ref="AW23:AY23"/>
    <mergeCell ref="AT24:AV24"/>
    <mergeCell ref="AW24:AY24"/>
    <mergeCell ref="AT25:AV25"/>
    <mergeCell ref="AW25:AY25"/>
    <mergeCell ref="AT26:AV26"/>
    <mergeCell ref="AW26:AY26"/>
    <mergeCell ref="AJ22:AQ22"/>
    <mergeCell ref="AR22:AS23"/>
    <mergeCell ref="AR24:AS24"/>
    <mergeCell ref="AR25:AS25"/>
    <mergeCell ref="AR26:AS26"/>
    <mergeCell ref="AR27:AS27"/>
    <mergeCell ref="AW28:AY28"/>
    <mergeCell ref="B29:D29"/>
    <mergeCell ref="E29:S29"/>
    <mergeCell ref="T29:W29"/>
    <mergeCell ref="X29:AA29"/>
    <mergeCell ref="AB29:AE29"/>
    <mergeCell ref="AF29:AI29"/>
    <mergeCell ref="AJ29:AM29"/>
    <mergeCell ref="AN29:AQ29"/>
    <mergeCell ref="AR29:AS29"/>
    <mergeCell ref="AT29:AV29"/>
    <mergeCell ref="AW29:AY29"/>
    <mergeCell ref="B28:D28"/>
    <mergeCell ref="E28:S28"/>
    <mergeCell ref="T28:W28"/>
    <mergeCell ref="X28:AA28"/>
    <mergeCell ref="AB28:AE28"/>
    <mergeCell ref="AF28:AI28"/>
    <mergeCell ref="AJ28:AM28"/>
    <mergeCell ref="AN28:AQ28"/>
    <mergeCell ref="AR28:AS28"/>
    <mergeCell ref="AT28:AV28"/>
    <mergeCell ref="AW30:AY30"/>
    <mergeCell ref="B31:D31"/>
    <mergeCell ref="E31:S31"/>
    <mergeCell ref="T31:W31"/>
    <mergeCell ref="X31:AA31"/>
    <mergeCell ref="AB31:AE31"/>
    <mergeCell ref="AF31:AI31"/>
    <mergeCell ref="AJ31:AM31"/>
    <mergeCell ref="AN31:AQ31"/>
    <mergeCell ref="AR31:AS31"/>
    <mergeCell ref="AT31:AV31"/>
    <mergeCell ref="AW31:AY31"/>
    <mergeCell ref="B30:D30"/>
    <mergeCell ref="E30:S30"/>
    <mergeCell ref="T30:W30"/>
    <mergeCell ref="X30:AA30"/>
    <mergeCell ref="AB30:AE30"/>
    <mergeCell ref="AF30:AI30"/>
    <mergeCell ref="AJ30:AM30"/>
    <mergeCell ref="AN30:AQ30"/>
    <mergeCell ref="AR30:AS30"/>
    <mergeCell ref="AT30:AV30"/>
    <mergeCell ref="B33:D33"/>
    <mergeCell ref="E33:S33"/>
    <mergeCell ref="T33:W33"/>
    <mergeCell ref="X33:AA33"/>
    <mergeCell ref="AB33:AE33"/>
    <mergeCell ref="AF33:AI33"/>
    <mergeCell ref="AJ33:AM33"/>
    <mergeCell ref="AN33:AQ33"/>
    <mergeCell ref="AR33:AS33"/>
    <mergeCell ref="AB35:AE35"/>
    <mergeCell ref="AF35:AI35"/>
    <mergeCell ref="AJ35:AM35"/>
    <mergeCell ref="AN35:AQ35"/>
    <mergeCell ref="AR35:AS35"/>
    <mergeCell ref="AT35:AV35"/>
    <mergeCell ref="AW35:AY35"/>
    <mergeCell ref="AJ32:AM32"/>
    <mergeCell ref="AN32:AQ32"/>
    <mergeCell ref="AR32:AS32"/>
    <mergeCell ref="AT32:AV32"/>
    <mergeCell ref="AW32:AY32"/>
    <mergeCell ref="AT33:AV33"/>
    <mergeCell ref="AW33:AY33"/>
    <mergeCell ref="T7:AA7"/>
    <mergeCell ref="AB7:AI7"/>
    <mergeCell ref="AJ7:AQ7"/>
    <mergeCell ref="B8:D8"/>
    <mergeCell ref="E8:S8"/>
    <mergeCell ref="T8:W8"/>
    <mergeCell ref="X8:AA8"/>
    <mergeCell ref="AB8:AE8"/>
    <mergeCell ref="AF8:AI8"/>
    <mergeCell ref="AJ8:AM8"/>
    <mergeCell ref="AN8:AQ8"/>
    <mergeCell ref="AJ11:AM11"/>
    <mergeCell ref="AN11:AQ11"/>
    <mergeCell ref="B11:S11"/>
    <mergeCell ref="AT36:AV36"/>
    <mergeCell ref="AW36:AY36"/>
    <mergeCell ref="I38:M38"/>
    <mergeCell ref="I39:M39"/>
    <mergeCell ref="BN8:BP8"/>
    <mergeCell ref="AJ9:AM9"/>
    <mergeCell ref="AN9:AQ9"/>
    <mergeCell ref="B10:D10"/>
    <mergeCell ref="E10:S10"/>
    <mergeCell ref="T10:W10"/>
    <mergeCell ref="X10:AA10"/>
    <mergeCell ref="AB10:AE10"/>
    <mergeCell ref="AF10:AI10"/>
    <mergeCell ref="AJ10:AM10"/>
    <mergeCell ref="AN10:AQ10"/>
    <mergeCell ref="AT34:AV34"/>
    <mergeCell ref="AW34:AY34"/>
    <mergeCell ref="B35:D35"/>
    <mergeCell ref="E35:S35"/>
    <mergeCell ref="T35:W35"/>
    <mergeCell ref="X35:AA35"/>
  </mergeCells>
  <conditionalFormatting sqref="AT24:AV36">
    <cfRule type="cellIs" dxfId="4" priority="1" operator="greaterThan">
      <formula>$AJ$19</formula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{A5F56483-8555-4E93-B64E-1D763F5A0572}</x14:id>
        </ext>
      </extLst>
    </cfRule>
  </conditionalFormatting>
  <printOptions horizontalCentered="1"/>
  <pageMargins left="0.51181102362204722" right="0.51181102362204722" top="0.55118110236220474" bottom="0.55118110236220474" header="0.31496062992125984" footer="0.31496062992125984"/>
  <pageSetup paperSize="9" fitToHeight="0" orientation="landscape" useFirstPageNumber="1" r:id="rId1"/>
  <headerFooter>
    <oddHeader>&amp;L&amp;"Tahoma,Regular"&amp;8&amp;K03+000Srinivasa Rao Masanam</oddHeader>
    <oddFooter>&amp;R&amp;"Tahoma,Regular"&amp;8&amp;K03+000©Elevated Terrains Consulting Engineers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F56483-8555-4E93-B64E-1D763F5A05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AT24:AV36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lcs"/>
  <dimension ref="A1:BK375"/>
  <sheetViews>
    <sheetView showGridLines="0" tabSelected="1" zoomScaleNormal="100" workbookViewId="0">
      <selection activeCell="W6" sqref="W6:AC6"/>
    </sheetView>
  </sheetViews>
  <sheetFormatPr defaultColWidth="2.7109375" defaultRowHeight="10.5" x14ac:dyDescent="0.2"/>
  <cols>
    <col min="1" max="1" width="1.7109375" style="3" customWidth="1"/>
    <col min="2" max="2" width="2.7109375" style="3" customWidth="1"/>
    <col min="3" max="9" width="2.7109375" style="3"/>
    <col min="10" max="10" width="3.140625" style="3" bestFit="1" customWidth="1"/>
    <col min="11" max="14" width="2.7109375" style="3"/>
    <col min="15" max="15" width="2.7109375" style="3" customWidth="1"/>
    <col min="16" max="17" width="2.7109375" style="3"/>
    <col min="18" max="18" width="2.7109375" style="3" customWidth="1"/>
    <col min="19" max="19" width="2.7109375" style="3"/>
    <col min="20" max="20" width="3.140625" style="3" bestFit="1" customWidth="1"/>
    <col min="21" max="21" width="2.7109375" style="3"/>
    <col min="22" max="22" width="2.7109375" style="3" customWidth="1"/>
    <col min="23" max="34" width="2.7109375" style="3"/>
    <col min="35" max="35" width="2.7109375" style="3" customWidth="1"/>
    <col min="36" max="40" width="2.7109375" style="3"/>
    <col min="41" max="43" width="2.7109375" style="3" customWidth="1"/>
    <col min="44" max="44" width="2.7109375" style="3" hidden="1" customWidth="1"/>
    <col min="45" max="45" width="12" style="3" hidden="1" customWidth="1"/>
    <col min="46" max="46" width="3" style="3" hidden="1" customWidth="1"/>
    <col min="47" max="47" width="19.5703125" style="3" hidden="1" customWidth="1"/>
    <col min="48" max="48" width="5.42578125" style="3" hidden="1" customWidth="1"/>
    <col min="49" max="49" width="2.7109375" style="3" hidden="1" customWidth="1"/>
    <col min="50" max="98" width="2.7109375" style="3" customWidth="1"/>
    <col min="99" max="112" width="9.28515625" style="3" customWidth="1"/>
    <col min="113" max="16384" width="2.7109375" style="3"/>
  </cols>
  <sheetData>
    <row r="1" spans="1:63" ht="15" customHeight="1" x14ac:dyDescent="0.2">
      <c r="A1" s="23"/>
      <c r="B1" s="458" t="s">
        <v>0</v>
      </c>
      <c r="C1" s="458"/>
      <c r="D1" s="458"/>
      <c r="E1" s="458"/>
      <c r="F1" s="2" t="s">
        <v>1</v>
      </c>
      <c r="G1" s="458" t="str">
        <f>DocNumber</f>
        <v>J1705-S-C-0001</v>
      </c>
      <c r="H1" s="458"/>
      <c r="I1" s="458"/>
      <c r="J1" s="458"/>
      <c r="K1" s="458"/>
      <c r="L1" s="458"/>
      <c r="M1" s="458"/>
      <c r="N1" s="458"/>
      <c r="O1" s="458"/>
      <c r="P1" s="458"/>
      <c r="Q1" s="458"/>
      <c r="R1" s="459"/>
      <c r="S1" s="460" t="s">
        <v>2</v>
      </c>
      <c r="T1" s="458"/>
      <c r="U1" s="458"/>
      <c r="V1" s="2" t="s">
        <v>1</v>
      </c>
      <c r="W1" s="461" t="str">
        <f>DocOriginator</f>
        <v>Srinivas</v>
      </c>
      <c r="X1" s="461"/>
      <c r="Y1" s="462"/>
      <c r="Z1" s="463" t="s">
        <v>3</v>
      </c>
      <c r="AA1" s="463"/>
      <c r="AB1" s="463"/>
      <c r="AC1" s="463"/>
      <c r="AD1" s="463"/>
      <c r="AE1" s="463"/>
      <c r="AF1" s="463"/>
      <c r="AG1" s="463"/>
      <c r="AH1" s="24"/>
      <c r="AI1" s="24"/>
      <c r="AJ1" s="24"/>
    </row>
    <row r="2" spans="1:63" ht="15" customHeight="1" x14ac:dyDescent="0.2">
      <c r="A2" s="23"/>
      <c r="B2" s="458" t="s">
        <v>4</v>
      </c>
      <c r="C2" s="458"/>
      <c r="D2" s="458"/>
      <c r="E2" s="458"/>
      <c r="F2" s="2" t="s">
        <v>1</v>
      </c>
      <c r="G2" s="474" t="s">
        <v>296</v>
      </c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9"/>
      <c r="S2" s="460" t="s">
        <v>5</v>
      </c>
      <c r="T2" s="458"/>
      <c r="U2" s="458"/>
      <c r="V2" s="2" t="s">
        <v>1</v>
      </c>
      <c r="W2" s="461" t="str">
        <f>DocChecker</f>
        <v>Srinivas</v>
      </c>
      <c r="X2" s="461"/>
      <c r="Y2" s="462"/>
      <c r="Z2" s="471" t="str">
        <f>Summary!AR2</f>
        <v>Code</v>
      </c>
      <c r="AA2" s="471"/>
      <c r="AB2" s="471"/>
      <c r="AC2" s="471"/>
      <c r="AD2" s="463" t="str">
        <f>Summary!AV2</f>
        <v>IFR</v>
      </c>
      <c r="AE2" s="463"/>
      <c r="AF2" s="463"/>
      <c r="AG2" s="463"/>
      <c r="AH2" s="24"/>
      <c r="AI2" s="24"/>
      <c r="AJ2" s="24"/>
    </row>
    <row r="3" spans="1:63" ht="15" customHeight="1" x14ac:dyDescent="0.2">
      <c r="A3" s="23"/>
      <c r="B3" s="458" t="s">
        <v>8</v>
      </c>
      <c r="C3" s="458"/>
      <c r="D3" s="458"/>
      <c r="E3" s="458"/>
      <c r="F3" s="2" t="s">
        <v>1</v>
      </c>
      <c r="G3" s="458" t="str">
        <f>DocProject</f>
        <v>Renovation of the Covering Shed</v>
      </c>
      <c r="H3" s="458"/>
      <c r="I3" s="458"/>
      <c r="J3" s="458"/>
      <c r="K3" s="458"/>
      <c r="L3" s="458"/>
      <c r="M3" s="458"/>
      <c r="N3" s="458"/>
      <c r="O3" s="458"/>
      <c r="P3" s="458"/>
      <c r="Q3" s="458"/>
      <c r="R3" s="459"/>
      <c r="S3" s="460" t="s">
        <v>9</v>
      </c>
      <c r="T3" s="458"/>
      <c r="U3" s="458"/>
      <c r="V3" s="2" t="s">
        <v>1</v>
      </c>
      <c r="W3" s="461" t="str">
        <f>DocApprover</f>
        <v>Srinivas</v>
      </c>
      <c r="X3" s="461"/>
      <c r="Y3" s="462"/>
      <c r="Z3" s="471" t="str">
        <f>DocInitialIssue</f>
        <v>Revision</v>
      </c>
      <c r="AA3" s="471"/>
      <c r="AB3" s="471"/>
      <c r="AC3" s="471"/>
      <c r="AD3" s="463" t="str">
        <f>DocCurrentIssue</f>
        <v>A</v>
      </c>
      <c r="AE3" s="463"/>
      <c r="AF3" s="463"/>
      <c r="AG3" s="463"/>
      <c r="AH3" s="24"/>
      <c r="AI3" s="24"/>
      <c r="AJ3" s="24"/>
      <c r="AR3" s="4"/>
      <c r="AS3" s="4"/>
      <c r="AT3" s="4"/>
      <c r="AU3" s="4"/>
      <c r="AV3" s="4"/>
      <c r="AW3" s="4"/>
    </row>
    <row r="4" spans="1:63" ht="15" customHeight="1" thickBot="1" x14ac:dyDescent="0.25">
      <c r="A4" s="23"/>
      <c r="B4" s="458" t="s">
        <v>10</v>
      </c>
      <c r="C4" s="458"/>
      <c r="D4" s="458"/>
      <c r="E4" s="458"/>
      <c r="F4" s="2" t="s">
        <v>1</v>
      </c>
      <c r="G4" s="464" t="str">
        <f>DocClient</f>
        <v>M/s Gammon India Ltd.</v>
      </c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5"/>
      <c r="S4" s="466" t="str">
        <f>DocVersion</f>
        <v>AISC 360-10 v2.0</v>
      </c>
      <c r="T4" s="467"/>
      <c r="U4" s="467"/>
      <c r="V4" s="467"/>
      <c r="W4" s="467"/>
      <c r="X4" s="467"/>
      <c r="Y4" s="468"/>
      <c r="Z4" s="469" t="str">
        <f>DocInitialDate</f>
        <v>Date</v>
      </c>
      <c r="AA4" s="469"/>
      <c r="AB4" s="469"/>
      <c r="AC4" s="469"/>
      <c r="AD4" s="470">
        <f ca="1">DocCurrentDate</f>
        <v>45720</v>
      </c>
      <c r="AE4" s="470"/>
      <c r="AF4" s="470"/>
      <c r="AG4" s="470"/>
      <c r="AH4" s="25"/>
      <c r="AI4" s="28" t="s">
        <v>40</v>
      </c>
      <c r="AJ4" s="29"/>
      <c r="AK4" s="30"/>
      <c r="AL4" s="30"/>
      <c r="AM4" s="31"/>
    </row>
    <row r="5" spans="1:63" ht="10.5" customHeight="1" x14ac:dyDescent="0.2">
      <c r="A5" s="18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20"/>
      <c r="AH5" s="4"/>
      <c r="AI5" s="4"/>
      <c r="AJ5" s="4"/>
    </row>
    <row r="6" spans="1:63" ht="10.5" customHeight="1" x14ac:dyDescent="0.2">
      <c r="A6" s="5"/>
      <c r="B6" s="124" t="s">
        <v>82</v>
      </c>
      <c r="C6" s="37"/>
      <c r="D6" s="37"/>
      <c r="E6" s="37"/>
      <c r="F6" s="37"/>
      <c r="G6" s="37"/>
      <c r="H6" s="37"/>
      <c r="I6" s="37"/>
      <c r="J6" s="37"/>
      <c r="K6" s="129" t="s">
        <v>1</v>
      </c>
      <c r="M6" s="475" t="s">
        <v>573</v>
      </c>
      <c r="N6" s="476"/>
      <c r="O6" s="476"/>
      <c r="P6" s="476"/>
      <c r="Q6" s="477"/>
      <c r="R6" s="475" t="s">
        <v>574</v>
      </c>
      <c r="S6" s="476"/>
      <c r="T6" s="476"/>
      <c r="U6" s="476"/>
      <c r="V6" s="477"/>
      <c r="W6" s="396" t="s">
        <v>575</v>
      </c>
      <c r="X6" s="397"/>
      <c r="Y6" s="397"/>
      <c r="Z6" s="397"/>
      <c r="AA6" s="398"/>
      <c r="AB6" s="351"/>
      <c r="AC6" s="399"/>
      <c r="AD6" s="37"/>
      <c r="AE6" s="37"/>
      <c r="AF6" s="37"/>
      <c r="AG6" s="7"/>
      <c r="AH6" s="4"/>
    </row>
    <row r="7" spans="1:63" x14ac:dyDescent="0.2">
      <c r="A7" s="5"/>
      <c r="AA7" s="36"/>
      <c r="AB7" s="36"/>
      <c r="AC7" s="36"/>
      <c r="AD7" s="36"/>
      <c r="AE7" s="36"/>
      <c r="AF7" s="36"/>
      <c r="AG7" s="22"/>
      <c r="AH7" s="4"/>
      <c r="AI7" s="4"/>
      <c r="AJ7" s="4"/>
    </row>
    <row r="8" spans="1:63" ht="12.75" x14ac:dyDescent="0.2">
      <c r="A8" s="5"/>
      <c r="B8" s="35" t="s">
        <v>43</v>
      </c>
      <c r="U8" s="4"/>
      <c r="V8" s="40"/>
      <c r="W8" s="36"/>
      <c r="X8" s="36"/>
      <c r="Y8" s="36"/>
      <c r="Z8" s="36"/>
      <c r="AA8" s="40"/>
      <c r="AB8" s="36"/>
      <c r="AC8" s="41"/>
      <c r="AD8" s="41"/>
      <c r="AE8" s="41"/>
      <c r="AF8" s="41"/>
      <c r="AG8" s="43"/>
      <c r="AH8" s="4"/>
      <c r="AI8" s="4"/>
      <c r="AJ8" s="40"/>
      <c r="AK8" s="36"/>
      <c r="AL8" s="36"/>
      <c r="AM8" s="36"/>
      <c r="AN8" s="36"/>
      <c r="AO8" s="36"/>
      <c r="AP8" s="36"/>
      <c r="AQ8" s="36"/>
      <c r="AW8" s="36"/>
      <c r="AX8" s="44"/>
      <c r="AY8" s="44"/>
      <c r="AZ8" s="36"/>
      <c r="BA8" s="36"/>
      <c r="BB8" s="187"/>
      <c r="BC8" s="187"/>
      <c r="BD8" s="187"/>
    </row>
    <row r="9" spans="1:63" ht="12.75" x14ac:dyDescent="0.2">
      <c r="A9" s="5"/>
      <c r="B9" s="444" t="s">
        <v>85</v>
      </c>
      <c r="C9" s="441"/>
      <c r="D9" s="441"/>
      <c r="E9" s="441"/>
      <c r="F9" s="441"/>
      <c r="G9" s="441"/>
      <c r="H9" s="131" t="s">
        <v>1</v>
      </c>
      <c r="I9" s="453">
        <f>AU18</f>
        <v>2471.3426926084699</v>
      </c>
      <c r="J9" s="454"/>
      <c r="K9" s="454"/>
      <c r="L9" s="454"/>
      <c r="M9" s="454"/>
      <c r="N9" s="436" t="s">
        <v>92</v>
      </c>
      <c r="O9" s="437"/>
      <c r="P9" s="444" t="s">
        <v>100</v>
      </c>
      <c r="Q9" s="441"/>
      <c r="R9" s="441"/>
      <c r="S9" s="441"/>
      <c r="T9" s="441"/>
      <c r="U9" s="441"/>
      <c r="V9" s="131" t="s">
        <v>1</v>
      </c>
      <c r="W9" s="438">
        <f>AU29</f>
        <v>89792.328693125004</v>
      </c>
      <c r="X9" s="439"/>
      <c r="Y9" s="439"/>
      <c r="Z9" s="439"/>
      <c r="AA9" s="439"/>
      <c r="AB9" s="436" t="s">
        <v>62</v>
      </c>
      <c r="AC9" s="437"/>
      <c r="AD9" s="41"/>
      <c r="AE9" s="41"/>
      <c r="AF9" s="41"/>
      <c r="AG9" s="43"/>
      <c r="AH9" s="4"/>
      <c r="AI9" s="4"/>
      <c r="AJ9" s="77"/>
      <c r="AK9" s="36"/>
      <c r="AL9" s="36"/>
      <c r="AM9" s="36"/>
      <c r="AN9" s="36"/>
      <c r="AO9" s="36"/>
      <c r="AP9" s="36"/>
      <c r="AQ9" s="36"/>
      <c r="AR9" s="36">
        <v>1</v>
      </c>
      <c r="AS9" s="252" t="s">
        <v>310</v>
      </c>
      <c r="AT9" s="253" t="s">
        <v>1</v>
      </c>
      <c r="AU9" s="254" t="s">
        <v>383</v>
      </c>
      <c r="AV9" s="255"/>
      <c r="AW9" s="36"/>
      <c r="AX9" s="44"/>
      <c r="AY9" s="44"/>
      <c r="AZ9" s="36"/>
      <c r="BA9" s="36"/>
      <c r="BB9" s="187"/>
      <c r="BC9" s="187"/>
      <c r="BD9" s="187"/>
      <c r="BE9" s="9"/>
      <c r="BF9" s="9"/>
      <c r="BH9" s="8"/>
      <c r="BI9" s="8"/>
      <c r="BJ9" s="9"/>
      <c r="BK9" s="9"/>
    </row>
    <row r="10" spans="1:63" ht="12.75" customHeight="1" x14ac:dyDescent="0.2">
      <c r="A10" s="5"/>
      <c r="B10" s="440" t="s">
        <v>86</v>
      </c>
      <c r="C10" s="441"/>
      <c r="D10" s="441"/>
      <c r="E10" s="441"/>
      <c r="F10" s="441"/>
      <c r="G10" s="441"/>
      <c r="H10" s="131" t="s">
        <v>1</v>
      </c>
      <c r="I10" s="434">
        <f>AU12</f>
        <v>106</v>
      </c>
      <c r="J10" s="435"/>
      <c r="K10" s="435"/>
      <c r="L10" s="435"/>
      <c r="M10" s="435"/>
      <c r="N10" s="436" t="s">
        <v>83</v>
      </c>
      <c r="O10" s="437"/>
      <c r="P10" s="444" t="s">
        <v>101</v>
      </c>
      <c r="Q10" s="441"/>
      <c r="R10" s="441"/>
      <c r="S10" s="441"/>
      <c r="T10" s="441"/>
      <c r="U10" s="441"/>
      <c r="V10" s="131" t="s">
        <v>1</v>
      </c>
      <c r="W10" s="438">
        <f>AU34</f>
        <v>31186.039544468102</v>
      </c>
      <c r="X10" s="439"/>
      <c r="Y10" s="439"/>
      <c r="Z10" s="439"/>
      <c r="AA10" s="439"/>
      <c r="AB10" s="436" t="s">
        <v>62</v>
      </c>
      <c r="AC10" s="437"/>
      <c r="AD10" s="41"/>
      <c r="AE10" s="41"/>
      <c r="AF10" s="41"/>
      <c r="AG10" s="43"/>
      <c r="AH10" s="4"/>
      <c r="AI10" s="4"/>
      <c r="AJ10" s="77"/>
      <c r="AK10" s="36"/>
      <c r="AL10" s="36"/>
      <c r="AM10" s="36"/>
      <c r="AN10" s="36"/>
      <c r="AO10" s="36"/>
      <c r="AP10" s="36"/>
      <c r="AQ10" s="36"/>
      <c r="AR10" s="36">
        <v>2</v>
      </c>
      <c r="AS10" s="252" t="s">
        <v>312</v>
      </c>
      <c r="AT10" s="253" t="s">
        <v>1</v>
      </c>
      <c r="AU10" s="256">
        <v>19.4000401369765</v>
      </c>
      <c r="AV10" s="257" t="s">
        <v>334</v>
      </c>
      <c r="AW10" s="36"/>
      <c r="AX10" s="44"/>
      <c r="AY10" s="44"/>
      <c r="AZ10" s="36"/>
      <c r="BA10" s="36"/>
      <c r="BB10" s="187"/>
      <c r="BC10" s="187"/>
      <c r="BD10" s="187"/>
    </row>
    <row r="11" spans="1:63" ht="12.75" customHeight="1" x14ac:dyDescent="0.2">
      <c r="A11" s="5"/>
      <c r="B11" s="444" t="s">
        <v>90</v>
      </c>
      <c r="C11" s="441"/>
      <c r="D11" s="441"/>
      <c r="E11" s="441"/>
      <c r="F11" s="441"/>
      <c r="G11" s="441"/>
      <c r="H11" s="131" t="s">
        <v>1</v>
      </c>
      <c r="I11" s="434">
        <f>AU13</f>
        <v>103</v>
      </c>
      <c r="J11" s="435"/>
      <c r="K11" s="435"/>
      <c r="L11" s="435"/>
      <c r="M11" s="435"/>
      <c r="N11" s="436" t="s">
        <v>83</v>
      </c>
      <c r="O11" s="437"/>
      <c r="P11" s="444" t="s">
        <v>102</v>
      </c>
      <c r="Q11" s="441"/>
      <c r="R11" s="441"/>
      <c r="S11" s="441"/>
      <c r="T11" s="441"/>
      <c r="U11" s="441"/>
      <c r="V11" s="131" t="s">
        <v>1</v>
      </c>
      <c r="W11" s="438">
        <f>AU30</f>
        <v>103297.40720697799</v>
      </c>
      <c r="X11" s="439"/>
      <c r="Y11" s="439"/>
      <c r="Z11" s="439"/>
      <c r="AA11" s="439"/>
      <c r="AB11" s="436" t="s">
        <v>62</v>
      </c>
      <c r="AC11" s="437"/>
      <c r="AD11" s="41"/>
      <c r="AE11" s="41"/>
      <c r="AF11" s="41"/>
      <c r="AG11" s="43"/>
      <c r="AH11" s="4"/>
      <c r="AI11" s="4"/>
      <c r="AJ11" s="77"/>
      <c r="AK11" s="36"/>
      <c r="AL11" s="36"/>
      <c r="AM11" s="36"/>
      <c r="AN11" s="36"/>
      <c r="AO11" s="36"/>
      <c r="AP11" s="36"/>
      <c r="AQ11" s="36"/>
      <c r="AR11" s="36">
        <v>3</v>
      </c>
      <c r="AS11" s="252" t="s">
        <v>311</v>
      </c>
      <c r="AT11" s="253" t="s">
        <v>1</v>
      </c>
      <c r="AU11" s="256">
        <v>13.0362245941821</v>
      </c>
      <c r="AV11" s="257" t="s">
        <v>335</v>
      </c>
      <c r="AW11" s="36"/>
      <c r="AX11" s="44"/>
      <c r="AY11" s="44"/>
      <c r="AZ11" s="36"/>
      <c r="BA11" s="36"/>
      <c r="BB11" s="187"/>
      <c r="BC11" s="187"/>
      <c r="BD11" s="187"/>
    </row>
    <row r="12" spans="1:63" ht="12.75" customHeight="1" x14ac:dyDescent="0.2">
      <c r="A12" s="5"/>
      <c r="B12" s="444" t="s">
        <v>89</v>
      </c>
      <c r="C12" s="441"/>
      <c r="D12" s="441"/>
      <c r="E12" s="441"/>
      <c r="F12" s="441"/>
      <c r="G12" s="441"/>
      <c r="H12" s="131" t="s">
        <v>1</v>
      </c>
      <c r="I12" s="434">
        <f>AU15</f>
        <v>8.8000001907348633</v>
      </c>
      <c r="J12" s="435"/>
      <c r="K12" s="435"/>
      <c r="L12" s="435"/>
      <c r="M12" s="435"/>
      <c r="N12" s="436" t="s">
        <v>83</v>
      </c>
      <c r="O12" s="437"/>
      <c r="P12" s="444" t="s">
        <v>103</v>
      </c>
      <c r="Q12" s="441"/>
      <c r="R12" s="441"/>
      <c r="S12" s="441"/>
      <c r="T12" s="441"/>
      <c r="U12" s="441"/>
      <c r="V12" s="131" t="s">
        <v>1</v>
      </c>
      <c r="W12" s="438">
        <f>AU35</f>
        <v>47944.782421098702</v>
      </c>
      <c r="X12" s="439"/>
      <c r="Y12" s="439"/>
      <c r="Z12" s="439"/>
      <c r="AA12" s="439"/>
      <c r="AB12" s="436" t="s">
        <v>62</v>
      </c>
      <c r="AC12" s="437"/>
      <c r="AD12" s="36"/>
      <c r="AE12" s="36"/>
      <c r="AF12" s="36"/>
      <c r="AG12" s="7"/>
      <c r="AH12" s="4"/>
      <c r="AI12" s="4"/>
      <c r="AJ12" s="40"/>
      <c r="AK12" s="36"/>
      <c r="AL12" s="36"/>
      <c r="AM12" s="36"/>
      <c r="AN12" s="36"/>
      <c r="AO12" s="36"/>
      <c r="AP12" s="36"/>
      <c r="AQ12" s="36"/>
      <c r="AR12" s="36">
        <v>4</v>
      </c>
      <c r="AS12" s="252" t="s">
        <v>86</v>
      </c>
      <c r="AT12" s="253" t="s">
        <v>1</v>
      </c>
      <c r="AU12" s="256">
        <v>106</v>
      </c>
      <c r="AV12" s="257" t="s">
        <v>83</v>
      </c>
      <c r="AW12" s="36"/>
      <c r="AX12" s="44"/>
      <c r="AY12" s="44"/>
      <c r="AZ12" s="36"/>
      <c r="BA12" s="36"/>
      <c r="BB12" s="187"/>
      <c r="BC12" s="187"/>
      <c r="BD12" s="187"/>
    </row>
    <row r="13" spans="1:63" ht="12.75" customHeight="1" x14ac:dyDescent="0.2">
      <c r="A13" s="5"/>
      <c r="B13" s="444" t="s">
        <v>88</v>
      </c>
      <c r="C13" s="441"/>
      <c r="D13" s="441"/>
      <c r="E13" s="441"/>
      <c r="F13" s="441"/>
      <c r="G13" s="441"/>
      <c r="H13" s="131" t="s">
        <v>1</v>
      </c>
      <c r="I13" s="434">
        <f>AU14</f>
        <v>7.0999999046325684</v>
      </c>
      <c r="J13" s="435"/>
      <c r="K13" s="435"/>
      <c r="L13" s="435"/>
      <c r="M13" s="435"/>
      <c r="N13" s="436" t="s">
        <v>83</v>
      </c>
      <c r="O13" s="437"/>
      <c r="P13" s="444" t="s">
        <v>95</v>
      </c>
      <c r="Q13" s="441"/>
      <c r="R13" s="441"/>
      <c r="S13" s="441"/>
      <c r="T13" s="441"/>
      <c r="U13" s="441"/>
      <c r="V13" s="131" t="s">
        <v>1</v>
      </c>
      <c r="W13" s="434">
        <f>AU31</f>
        <v>43.882469177246094</v>
      </c>
      <c r="X13" s="435"/>
      <c r="Y13" s="435"/>
      <c r="Z13" s="435"/>
      <c r="AA13" s="435"/>
      <c r="AB13" s="436" t="s">
        <v>83</v>
      </c>
      <c r="AC13" s="437"/>
      <c r="AD13" s="36"/>
      <c r="AE13" s="36"/>
      <c r="AF13" s="36"/>
      <c r="AG13" s="7"/>
      <c r="AH13" s="4"/>
      <c r="AI13" s="4"/>
      <c r="AJ13" s="233"/>
      <c r="AK13" s="36"/>
      <c r="AL13" s="36"/>
      <c r="AM13" s="36"/>
      <c r="AN13" s="36"/>
      <c r="AO13" s="36"/>
      <c r="AP13" s="36"/>
      <c r="AQ13" s="36"/>
      <c r="AR13" s="36">
        <v>5</v>
      </c>
      <c r="AS13" s="252" t="s">
        <v>90</v>
      </c>
      <c r="AT13" s="253" t="s">
        <v>1</v>
      </c>
      <c r="AU13" s="256">
        <v>103</v>
      </c>
      <c r="AV13" s="257" t="s">
        <v>83</v>
      </c>
      <c r="AW13" s="36"/>
      <c r="AX13" s="44"/>
      <c r="AY13" s="44"/>
      <c r="AZ13" s="36"/>
      <c r="BA13" s="36"/>
      <c r="BB13" s="187"/>
      <c r="BC13" s="187"/>
      <c r="BD13" s="187"/>
    </row>
    <row r="14" spans="1:63" ht="12.75" customHeight="1" x14ac:dyDescent="0.2">
      <c r="A14" s="5"/>
      <c r="B14" s="444" t="s">
        <v>91</v>
      </c>
      <c r="C14" s="441"/>
      <c r="D14" s="441"/>
      <c r="E14" s="441"/>
      <c r="F14" s="441"/>
      <c r="G14" s="441"/>
      <c r="H14" s="131" t="s">
        <v>1</v>
      </c>
      <c r="I14" s="434">
        <f>AU42</f>
        <v>14.800000190734863</v>
      </c>
      <c r="J14" s="435"/>
      <c r="K14" s="435"/>
      <c r="L14" s="435"/>
      <c r="M14" s="435"/>
      <c r="N14" s="436" t="s">
        <v>83</v>
      </c>
      <c r="O14" s="437"/>
      <c r="P14" s="444" t="s">
        <v>96</v>
      </c>
      <c r="Q14" s="441"/>
      <c r="R14" s="441"/>
      <c r="S14" s="441"/>
      <c r="T14" s="441"/>
      <c r="U14" s="441"/>
      <c r="V14" s="131" t="s">
        <v>1</v>
      </c>
      <c r="W14" s="434">
        <f>AU36</f>
        <v>25.492782592773438</v>
      </c>
      <c r="X14" s="435"/>
      <c r="Y14" s="435"/>
      <c r="Z14" s="435"/>
      <c r="AA14" s="435"/>
      <c r="AB14" s="436" t="s">
        <v>83</v>
      </c>
      <c r="AC14" s="437"/>
      <c r="AD14" s="36"/>
      <c r="AE14" s="36"/>
      <c r="AF14" s="36"/>
      <c r="AG14" s="7"/>
      <c r="AH14" s="4"/>
      <c r="AI14" s="4"/>
      <c r="AJ14" s="44"/>
      <c r="AK14" s="44"/>
      <c r="AL14" s="44"/>
      <c r="AM14" s="44"/>
      <c r="AN14" s="44"/>
      <c r="AO14" s="44"/>
      <c r="AP14" s="44"/>
      <c r="AQ14" s="44"/>
      <c r="AR14" s="36">
        <v>6</v>
      </c>
      <c r="AS14" s="252" t="s">
        <v>88</v>
      </c>
      <c r="AT14" s="253" t="s">
        <v>1</v>
      </c>
      <c r="AU14" s="256">
        <v>7.0999999046325684</v>
      </c>
      <c r="AV14" s="257" t="s">
        <v>83</v>
      </c>
      <c r="AW14" s="44"/>
      <c r="AX14" s="44"/>
      <c r="AY14" s="44"/>
      <c r="AZ14" s="44"/>
      <c r="BA14" s="44"/>
      <c r="BB14" s="44"/>
      <c r="BC14" s="44"/>
      <c r="BD14" s="44"/>
    </row>
    <row r="15" spans="1:63" ht="12.75" customHeight="1" x14ac:dyDescent="0.2">
      <c r="A15" s="5"/>
      <c r="B15" s="444" t="s">
        <v>93</v>
      </c>
      <c r="C15" s="441"/>
      <c r="D15" s="441"/>
      <c r="E15" s="441"/>
      <c r="F15" s="441"/>
      <c r="G15" s="441"/>
      <c r="H15" s="131" t="s">
        <v>1</v>
      </c>
      <c r="I15" s="438">
        <f>AU28</f>
        <v>4758993.4207356302</v>
      </c>
      <c r="J15" s="439"/>
      <c r="K15" s="439"/>
      <c r="L15" s="439"/>
      <c r="M15" s="439"/>
      <c r="N15" s="436" t="s">
        <v>84</v>
      </c>
      <c r="O15" s="437"/>
      <c r="P15" s="444" t="s">
        <v>97</v>
      </c>
      <c r="Q15" s="441"/>
      <c r="R15" s="441"/>
      <c r="S15" s="441"/>
      <c r="T15" s="441"/>
      <c r="U15" s="441"/>
      <c r="V15" s="131" t="s">
        <v>1</v>
      </c>
      <c r="W15" s="438">
        <f>AU39</f>
        <v>57340.857372233397</v>
      </c>
      <c r="X15" s="439"/>
      <c r="Y15" s="439"/>
      <c r="Z15" s="439"/>
      <c r="AA15" s="439"/>
      <c r="AB15" s="436" t="s">
        <v>84</v>
      </c>
      <c r="AC15" s="437"/>
      <c r="AD15" s="36"/>
      <c r="AE15" s="36"/>
      <c r="AF15" s="36"/>
      <c r="AG15" s="7"/>
      <c r="AH15" s="4"/>
      <c r="AI15" s="4"/>
      <c r="AJ15" s="234"/>
      <c r="AK15" s="44"/>
      <c r="AL15" s="44"/>
      <c r="AM15" s="44"/>
      <c r="AN15" s="44"/>
      <c r="AO15" s="44"/>
      <c r="AP15" s="234"/>
      <c r="AQ15" s="44"/>
      <c r="AR15" s="44">
        <v>7</v>
      </c>
      <c r="AS15" s="258" t="s">
        <v>89</v>
      </c>
      <c r="AT15" s="253" t="s">
        <v>1</v>
      </c>
      <c r="AU15" s="259">
        <v>8.8000001907348633</v>
      </c>
      <c r="AV15" s="260" t="s">
        <v>83</v>
      </c>
      <c r="AW15" s="44"/>
      <c r="AX15" s="234"/>
      <c r="AY15" s="44"/>
      <c r="AZ15" s="44"/>
      <c r="BA15" s="44"/>
      <c r="BB15" s="44"/>
      <c r="BC15" s="44"/>
      <c r="BD15" s="44"/>
    </row>
    <row r="16" spans="1:63" ht="12.75" x14ac:dyDescent="0.2">
      <c r="A16" s="5"/>
      <c r="B16" s="444" t="s">
        <v>94</v>
      </c>
      <c r="C16" s="441"/>
      <c r="D16" s="441"/>
      <c r="E16" s="441"/>
      <c r="F16" s="441"/>
      <c r="G16" s="441"/>
      <c r="H16" s="131" t="s">
        <v>1</v>
      </c>
      <c r="I16" s="438">
        <f>AU33</f>
        <v>1606081.0365401099</v>
      </c>
      <c r="J16" s="439"/>
      <c r="K16" s="439"/>
      <c r="L16" s="439"/>
      <c r="M16" s="439"/>
      <c r="N16" s="436" t="s">
        <v>84</v>
      </c>
      <c r="O16" s="437"/>
      <c r="P16" s="444" t="s">
        <v>99</v>
      </c>
      <c r="Q16" s="441"/>
      <c r="R16" s="441"/>
      <c r="S16" s="441"/>
      <c r="T16" s="441"/>
      <c r="U16" s="441"/>
      <c r="V16" s="131" t="s">
        <v>1</v>
      </c>
      <c r="W16" s="442">
        <f>AU40</f>
        <v>3785433682.4067998</v>
      </c>
      <c r="X16" s="443"/>
      <c r="Y16" s="443"/>
      <c r="Z16" s="443"/>
      <c r="AA16" s="443"/>
      <c r="AB16" s="436" t="s">
        <v>98</v>
      </c>
      <c r="AC16" s="437"/>
      <c r="AD16" s="41"/>
      <c r="AE16" s="36"/>
      <c r="AF16" s="36"/>
      <c r="AG16" s="10"/>
      <c r="AH16" s="26"/>
      <c r="AI16" s="26"/>
      <c r="AR16" s="44">
        <v>8</v>
      </c>
      <c r="AS16" s="258" t="s">
        <v>338</v>
      </c>
      <c r="AT16" s="253" t="s">
        <v>1</v>
      </c>
      <c r="AU16" s="259">
        <v>6</v>
      </c>
      <c r="AV16" s="260" t="s">
        <v>83</v>
      </c>
    </row>
    <row r="17" spans="1:58" ht="12.75" x14ac:dyDescent="0.2">
      <c r="A17" s="5"/>
      <c r="B17" s="445" t="s">
        <v>197</v>
      </c>
      <c r="C17" s="441"/>
      <c r="D17" s="441"/>
      <c r="E17" s="441"/>
      <c r="F17" s="441"/>
      <c r="G17" s="441"/>
      <c r="H17" s="160" t="s">
        <v>1</v>
      </c>
      <c r="I17" s="438">
        <f>h/2</f>
        <v>53</v>
      </c>
      <c r="J17" s="439"/>
      <c r="K17" s="439"/>
      <c r="L17" s="439"/>
      <c r="M17" s="439"/>
      <c r="N17" s="446" t="s">
        <v>83</v>
      </c>
      <c r="O17" s="437"/>
      <c r="P17" s="445" t="s">
        <v>198</v>
      </c>
      <c r="Q17" s="441"/>
      <c r="R17" s="441"/>
      <c r="S17" s="441"/>
      <c r="T17" s="441"/>
      <c r="U17" s="441"/>
      <c r="V17" s="160" t="s">
        <v>1</v>
      </c>
      <c r="W17" s="434">
        <f>(h-2*k)</f>
        <v>76.399999618530273</v>
      </c>
      <c r="X17" s="435"/>
      <c r="Y17" s="435"/>
      <c r="Z17" s="435"/>
      <c r="AA17" s="435"/>
      <c r="AB17" s="436" t="s">
        <v>83</v>
      </c>
      <c r="AC17" s="437"/>
      <c r="AD17" s="41"/>
      <c r="AE17" s="36"/>
      <c r="AF17" s="36"/>
      <c r="AG17" s="7"/>
      <c r="AH17" s="4"/>
      <c r="AI17" s="4"/>
      <c r="AJ17" s="4"/>
      <c r="AQ17" s="13"/>
      <c r="AR17" s="3">
        <v>9</v>
      </c>
      <c r="AS17" s="261" t="s">
        <v>314</v>
      </c>
      <c r="AT17" s="253" t="s">
        <v>1</v>
      </c>
      <c r="AU17" s="259">
        <v>0</v>
      </c>
      <c r="AV17" s="262" t="s">
        <v>83</v>
      </c>
    </row>
    <row r="18" spans="1:58" ht="12.75" customHeight="1" x14ac:dyDescent="0.2">
      <c r="A18" s="5"/>
      <c r="B18" s="238"/>
      <c r="C18" s="80"/>
      <c r="D18" s="80"/>
      <c r="E18" s="80"/>
      <c r="F18" s="80"/>
      <c r="G18" s="80"/>
      <c r="H18" s="239"/>
      <c r="I18" s="240"/>
      <c r="J18" s="80"/>
      <c r="K18" s="80"/>
      <c r="L18" s="80"/>
      <c r="M18" s="80"/>
      <c r="N18" s="239"/>
      <c r="O18" s="80"/>
      <c r="P18" s="4"/>
      <c r="Q18" s="77"/>
      <c r="R18" s="36"/>
      <c r="S18" s="36"/>
      <c r="T18" s="36"/>
      <c r="U18" s="36"/>
      <c r="V18" s="36"/>
      <c r="W18" s="36"/>
      <c r="X18" s="36"/>
      <c r="Y18" s="36"/>
      <c r="Z18" s="42"/>
      <c r="AA18" s="36"/>
      <c r="AB18" s="41"/>
      <c r="AC18" s="41"/>
      <c r="AD18" s="41"/>
      <c r="AE18" s="36"/>
      <c r="AF18" s="36"/>
      <c r="AG18" s="7"/>
      <c r="AH18" s="4"/>
      <c r="AI18" s="4"/>
      <c r="AJ18" s="4"/>
      <c r="AR18" s="251">
        <v>10</v>
      </c>
      <c r="AS18" s="263" t="s">
        <v>11</v>
      </c>
      <c r="AT18" s="253" t="s">
        <v>1</v>
      </c>
      <c r="AU18" s="259">
        <v>2471.3426926084699</v>
      </c>
      <c r="AV18" s="262" t="s">
        <v>92</v>
      </c>
    </row>
    <row r="19" spans="1:58" ht="12" x14ac:dyDescent="0.2">
      <c r="A19" s="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7"/>
      <c r="AH19" s="4"/>
      <c r="AI19" s="4"/>
      <c r="AJ19" s="4"/>
      <c r="AR19" s="3">
        <v>11</v>
      </c>
      <c r="AS19" s="261" t="s">
        <v>315</v>
      </c>
      <c r="AT19" s="253" t="s">
        <v>1</v>
      </c>
      <c r="AU19" s="259">
        <v>88.400001525878906</v>
      </c>
      <c r="AV19" s="262" t="s">
        <v>83</v>
      </c>
    </row>
    <row r="20" spans="1:58" x14ac:dyDescent="0.2">
      <c r="A20" s="5"/>
      <c r="AG20" s="7"/>
      <c r="AH20" s="4"/>
      <c r="AI20" s="4"/>
      <c r="AJ20" s="4"/>
      <c r="AR20" s="3">
        <v>12</v>
      </c>
      <c r="AS20" s="261" t="s">
        <v>12</v>
      </c>
      <c r="AT20" s="253" t="s">
        <v>1</v>
      </c>
      <c r="AU20" s="259">
        <v>76.400001525878906</v>
      </c>
      <c r="AV20" s="262" t="s">
        <v>83</v>
      </c>
    </row>
    <row r="21" spans="1:58" x14ac:dyDescent="0.2">
      <c r="A21" s="5"/>
      <c r="AG21" s="7"/>
      <c r="AH21" s="4"/>
      <c r="AI21" s="4"/>
      <c r="AJ21" s="4"/>
      <c r="AR21" s="3">
        <v>13</v>
      </c>
      <c r="AS21" s="264" t="s">
        <v>313</v>
      </c>
      <c r="AT21" s="253" t="s">
        <v>1</v>
      </c>
      <c r="AU21" s="265"/>
      <c r="AV21" s="262" t="s">
        <v>83</v>
      </c>
    </row>
    <row r="22" spans="1:58" ht="12.75" customHeight="1" x14ac:dyDescent="0.2">
      <c r="A22" s="5"/>
      <c r="AG22" s="7"/>
      <c r="AH22" s="4"/>
      <c r="AI22" s="4"/>
      <c r="AJ22" s="4"/>
      <c r="AR22" s="3">
        <v>14</v>
      </c>
      <c r="AS22" s="261" t="s">
        <v>316</v>
      </c>
      <c r="AT22" s="253" t="s">
        <v>1</v>
      </c>
      <c r="AU22" s="259"/>
      <c r="AV22" s="262" t="s">
        <v>83</v>
      </c>
    </row>
    <row r="23" spans="1:58" ht="12.75" customHeight="1" x14ac:dyDescent="0.2">
      <c r="A23" s="5"/>
      <c r="B23" s="35" t="s">
        <v>15</v>
      </c>
      <c r="C23" s="36"/>
      <c r="D23" s="36"/>
      <c r="E23" s="36"/>
      <c r="F23" s="36"/>
      <c r="G23" s="36"/>
      <c r="H23" s="36"/>
      <c r="I23" s="36"/>
      <c r="J23" s="36"/>
      <c r="K23" s="42"/>
      <c r="L23" s="36"/>
      <c r="M23" s="41"/>
      <c r="N23" s="41"/>
      <c r="O23" s="41"/>
      <c r="P23" s="36"/>
      <c r="Q23" s="40"/>
      <c r="R23" s="36"/>
      <c r="S23" s="36"/>
      <c r="T23" s="36"/>
      <c r="U23" s="36"/>
      <c r="V23" s="36"/>
      <c r="W23" s="36"/>
      <c r="X23" s="36"/>
      <c r="Y23" s="36"/>
      <c r="Z23" s="42"/>
      <c r="AA23" s="36"/>
      <c r="AB23" s="41"/>
      <c r="AC23" s="41"/>
      <c r="AD23" s="41"/>
      <c r="AE23" s="36"/>
      <c r="AF23" s="36"/>
      <c r="AG23" s="7"/>
      <c r="AH23" s="4"/>
      <c r="AI23" s="4"/>
      <c r="AJ23" s="4"/>
      <c r="AR23" s="3">
        <v>15</v>
      </c>
      <c r="AS23" s="261" t="s">
        <v>317</v>
      </c>
      <c r="AT23" s="253" t="s">
        <v>1</v>
      </c>
      <c r="AU23" s="259"/>
      <c r="AV23" s="262" t="s">
        <v>83</v>
      </c>
    </row>
    <row r="24" spans="1:58" ht="12.75" customHeight="1" x14ac:dyDescent="0.2">
      <c r="A24" s="5"/>
      <c r="B24" s="472" t="s">
        <v>48</v>
      </c>
      <c r="C24" s="473"/>
      <c r="D24" s="473"/>
      <c r="E24" s="473"/>
      <c r="F24" s="473"/>
      <c r="G24" s="473"/>
      <c r="H24" s="473"/>
      <c r="I24" s="503" t="s">
        <v>81</v>
      </c>
      <c r="J24" s="504"/>
      <c r="K24" s="504"/>
      <c r="L24" s="504"/>
      <c r="M24" s="505"/>
      <c r="N24" s="494" t="s">
        <v>45</v>
      </c>
      <c r="O24" s="495"/>
      <c r="P24" s="495"/>
      <c r="Q24" s="495"/>
      <c r="R24" s="496"/>
      <c r="S24" s="455" t="s">
        <v>63</v>
      </c>
      <c r="T24" s="456"/>
      <c r="U24" s="456"/>
      <c r="V24" s="456"/>
      <c r="W24" s="456"/>
      <c r="X24" s="456"/>
      <c r="Y24" s="456"/>
      <c r="Z24" s="456"/>
      <c r="AA24" s="456"/>
      <c r="AB24" s="447" t="s">
        <v>64</v>
      </c>
      <c r="AC24" s="448"/>
      <c r="AD24" s="448"/>
      <c r="AE24" s="448"/>
      <c r="AF24" s="449"/>
      <c r="AG24" s="7"/>
      <c r="AH24" s="4"/>
      <c r="AI24" s="4"/>
      <c r="AJ24" s="156"/>
      <c r="AK24" s="157"/>
      <c r="AL24" s="157"/>
      <c r="AM24" s="157"/>
      <c r="AN24" s="166"/>
      <c r="AR24" s="3">
        <v>16</v>
      </c>
      <c r="AS24" s="261" t="s">
        <v>318</v>
      </c>
      <c r="AT24" s="253" t="s">
        <v>1</v>
      </c>
      <c r="AU24" s="259">
        <v>0.59949911203381201</v>
      </c>
      <c r="AV24" s="262" t="s">
        <v>92</v>
      </c>
    </row>
    <row r="25" spans="1:58" ht="12.75" customHeight="1" x14ac:dyDescent="0.2">
      <c r="A25" s="5"/>
      <c r="B25" s="285"/>
      <c r="C25" s="286"/>
      <c r="D25" s="286"/>
      <c r="E25" s="286"/>
      <c r="F25" s="286"/>
      <c r="G25" s="286"/>
      <c r="H25" s="286"/>
      <c r="I25" s="503"/>
      <c r="J25" s="504"/>
      <c r="K25" s="504"/>
      <c r="L25" s="504"/>
      <c r="M25" s="505"/>
      <c r="N25" s="497"/>
      <c r="O25" s="495"/>
      <c r="P25" s="495"/>
      <c r="Q25" s="495"/>
      <c r="R25" s="496"/>
      <c r="S25" s="457" t="s">
        <v>46</v>
      </c>
      <c r="T25" s="456"/>
      <c r="U25" s="456"/>
      <c r="V25" s="456"/>
      <c r="W25" s="457" t="s">
        <v>47</v>
      </c>
      <c r="X25" s="456"/>
      <c r="Y25" s="456"/>
      <c r="Z25" s="456"/>
      <c r="AA25" s="456"/>
      <c r="AB25" s="450"/>
      <c r="AC25" s="448"/>
      <c r="AD25" s="448"/>
      <c r="AE25" s="448"/>
      <c r="AF25" s="449"/>
      <c r="AG25" s="7"/>
      <c r="AH25" s="4"/>
      <c r="AI25" s="4"/>
      <c r="AJ25" s="4"/>
      <c r="AR25" s="3">
        <v>17</v>
      </c>
      <c r="AS25" s="261" t="s">
        <v>319</v>
      </c>
      <c r="AT25" s="253" t="s">
        <v>1</v>
      </c>
      <c r="AU25" s="259">
        <v>0</v>
      </c>
      <c r="AV25" s="262" t="s">
        <v>92</v>
      </c>
    </row>
    <row r="26" spans="1:58" ht="12.75" customHeight="1" x14ac:dyDescent="0.2">
      <c r="A26" s="5"/>
      <c r="B26" s="502" t="s">
        <v>49</v>
      </c>
      <c r="C26" s="351"/>
      <c r="D26" s="351"/>
      <c r="E26" s="351"/>
      <c r="F26" s="351"/>
      <c r="G26" s="351"/>
      <c r="H26" s="351"/>
      <c r="I26" s="506" t="s">
        <v>366</v>
      </c>
      <c r="J26" s="507"/>
      <c r="K26" s="507"/>
      <c r="L26" s="507"/>
      <c r="M26" s="508"/>
      <c r="N26" s="498" t="s">
        <v>367</v>
      </c>
      <c r="O26" s="499"/>
      <c r="P26" s="499"/>
      <c r="Q26" s="499"/>
      <c r="R26" s="500"/>
      <c r="S26" s="451">
        <v>250</v>
      </c>
      <c r="T26" s="452"/>
      <c r="U26" s="452"/>
      <c r="V26" s="452"/>
      <c r="W26" s="451">
        <v>400</v>
      </c>
      <c r="X26" s="452"/>
      <c r="Y26" s="452"/>
      <c r="Z26" s="452"/>
      <c r="AA26" s="452"/>
      <c r="AB26" s="501">
        <v>200000</v>
      </c>
      <c r="AC26" s="448"/>
      <c r="AD26" s="448"/>
      <c r="AE26" s="448"/>
      <c r="AF26" s="449"/>
      <c r="AG26" s="7"/>
      <c r="AH26" s="4"/>
      <c r="AI26" s="32"/>
      <c r="AJ26" s="4"/>
      <c r="AR26" s="3">
        <v>18</v>
      </c>
      <c r="AS26" s="261" t="s">
        <v>320</v>
      </c>
      <c r="AT26" s="253" t="s">
        <v>1</v>
      </c>
      <c r="AU26" s="259">
        <v>30.901952150664201</v>
      </c>
      <c r="AV26" s="262" t="s">
        <v>336</v>
      </c>
      <c r="BD26" s="4"/>
      <c r="BE26" s="111"/>
      <c r="BF26" s="111"/>
    </row>
    <row r="27" spans="1:58" ht="12.75" x14ac:dyDescent="0.2">
      <c r="A27" s="5"/>
      <c r="AG27" s="7"/>
      <c r="AH27" s="4"/>
      <c r="AI27" s="32"/>
      <c r="AJ27" s="4"/>
      <c r="AR27" s="3">
        <v>19</v>
      </c>
      <c r="AS27" s="261" t="s">
        <v>321</v>
      </c>
      <c r="AT27" s="253" t="s">
        <v>1</v>
      </c>
      <c r="AU27" s="259">
        <v>0</v>
      </c>
      <c r="AV27" s="262" t="s">
        <v>336</v>
      </c>
      <c r="BD27" s="4"/>
      <c r="BE27" s="111"/>
      <c r="BF27" s="111"/>
    </row>
    <row r="28" spans="1:58" ht="12.75" customHeight="1" x14ac:dyDescent="0.2">
      <c r="A28" s="5"/>
      <c r="Y28" s="4"/>
      <c r="Z28" s="4"/>
      <c r="AA28" s="4"/>
      <c r="AB28" s="4"/>
      <c r="AC28" s="4"/>
      <c r="AD28" s="4"/>
      <c r="AE28" s="4"/>
      <c r="AG28" s="7"/>
      <c r="AH28" s="4"/>
      <c r="AI28" s="4"/>
      <c r="AJ28" s="4"/>
      <c r="AR28" s="3">
        <v>20</v>
      </c>
      <c r="AS28" s="261" t="s">
        <v>94</v>
      </c>
      <c r="AT28" s="253" t="s">
        <v>1</v>
      </c>
      <c r="AU28" s="265">
        <v>4758993.4207356302</v>
      </c>
      <c r="AV28" s="262" t="s">
        <v>84</v>
      </c>
      <c r="BD28" s="4"/>
      <c r="BE28" s="111"/>
      <c r="BF28" s="111"/>
    </row>
    <row r="29" spans="1:58" ht="12.75" customHeight="1" x14ac:dyDescent="0.2">
      <c r="A29" s="5"/>
      <c r="B29" s="128" t="s">
        <v>138</v>
      </c>
      <c r="C29" s="36"/>
      <c r="D29" s="36"/>
      <c r="E29" s="36"/>
      <c r="F29" s="36"/>
      <c r="G29" s="36"/>
      <c r="H29" s="36"/>
      <c r="I29" s="36"/>
      <c r="J29" s="36"/>
      <c r="K29" s="45"/>
      <c r="L29" s="46"/>
      <c r="M29" s="47"/>
      <c r="N29" s="47"/>
      <c r="O29" s="47"/>
      <c r="P29" s="36"/>
      <c r="Q29" s="40"/>
      <c r="R29" s="125" t="s">
        <v>139</v>
      </c>
      <c r="S29" s="124"/>
      <c r="T29" s="124"/>
      <c r="U29" s="124"/>
      <c r="V29" s="124"/>
      <c r="W29" s="130" t="s">
        <v>1</v>
      </c>
      <c r="X29" s="431">
        <v>77200</v>
      </c>
      <c r="Y29" s="432"/>
      <c r="Z29" s="432"/>
      <c r="AA29" s="432"/>
      <c r="AB29" s="342"/>
      <c r="AC29" s="4"/>
      <c r="AD29" s="4"/>
      <c r="AE29" s="4"/>
      <c r="AG29" s="7"/>
      <c r="AH29" s="4"/>
      <c r="AI29" s="4"/>
      <c r="AJ29" s="4"/>
      <c r="AR29" s="3">
        <v>21</v>
      </c>
      <c r="AS29" s="261" t="s">
        <v>322</v>
      </c>
      <c r="AT29" s="253" t="s">
        <v>1</v>
      </c>
      <c r="AU29" s="265">
        <v>89792.328693125004</v>
      </c>
      <c r="AV29" s="262" t="s">
        <v>62</v>
      </c>
      <c r="BD29" s="4"/>
      <c r="BE29" s="115"/>
      <c r="BF29" s="115"/>
    </row>
    <row r="30" spans="1:58" ht="12.75" x14ac:dyDescent="0.2">
      <c r="A30" s="5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8"/>
      <c r="Z30" s="48"/>
      <c r="AA30" s="48"/>
      <c r="AB30" s="48"/>
      <c r="AC30" s="48"/>
      <c r="AD30" s="48"/>
      <c r="AE30" s="48"/>
      <c r="AF30" s="6"/>
      <c r="AG30" s="7"/>
      <c r="AH30" s="4"/>
      <c r="AI30" s="4"/>
      <c r="AJ30" s="4"/>
      <c r="AR30" s="3">
        <v>22</v>
      </c>
      <c r="AS30" s="261" t="s">
        <v>323</v>
      </c>
      <c r="AT30" s="253" t="s">
        <v>1</v>
      </c>
      <c r="AU30" s="265">
        <v>103297.40720697799</v>
      </c>
      <c r="AV30" s="262" t="s">
        <v>62</v>
      </c>
    </row>
    <row r="31" spans="1:58" ht="12.75" x14ac:dyDescent="0.2">
      <c r="A31" s="5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8"/>
      <c r="Z31" s="48"/>
      <c r="AA31" s="48"/>
      <c r="AB31" s="48"/>
      <c r="AC31" s="48"/>
      <c r="AD31" s="48"/>
      <c r="AE31" s="48"/>
      <c r="AF31" s="6"/>
      <c r="AG31" s="7"/>
      <c r="AH31" s="4"/>
      <c r="AI31" s="4"/>
      <c r="AJ31" s="4"/>
      <c r="AR31" s="3">
        <v>23</v>
      </c>
      <c r="AS31" s="261" t="s">
        <v>324</v>
      </c>
      <c r="AT31" s="253" t="s">
        <v>1</v>
      </c>
      <c r="AU31" s="259">
        <v>43.882469177246094</v>
      </c>
      <c r="AV31" s="262" t="s">
        <v>83</v>
      </c>
    </row>
    <row r="32" spans="1:58" ht="12.75" x14ac:dyDescent="0.2">
      <c r="A32" s="5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8"/>
      <c r="Z32" s="48"/>
      <c r="AA32" s="48"/>
      <c r="AB32" s="48"/>
      <c r="AC32" s="48"/>
      <c r="AD32" s="48"/>
      <c r="AE32" s="48"/>
      <c r="AF32" s="6"/>
      <c r="AG32" s="7"/>
      <c r="AH32" s="4"/>
      <c r="AI32" s="4"/>
      <c r="AJ32" s="4"/>
      <c r="AR32" s="3">
        <v>24</v>
      </c>
      <c r="AS32" s="261" t="s">
        <v>325</v>
      </c>
      <c r="AT32" s="253" t="s">
        <v>1</v>
      </c>
      <c r="AU32" s="259">
        <v>627.63998886108402</v>
      </c>
      <c r="AV32" s="262" t="s">
        <v>92</v>
      </c>
    </row>
    <row r="33" spans="1:48" ht="12.75" x14ac:dyDescent="0.2">
      <c r="A33" s="5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8"/>
      <c r="Z33" s="48"/>
      <c r="AA33" s="48"/>
      <c r="AB33" s="48"/>
      <c r="AC33" s="48"/>
      <c r="AD33" s="48"/>
      <c r="AE33" s="48"/>
      <c r="AF33" s="6"/>
      <c r="AG33" s="7"/>
      <c r="AH33" s="4"/>
      <c r="AI33" s="4"/>
      <c r="AJ33" s="4"/>
      <c r="AR33" s="3">
        <v>25</v>
      </c>
      <c r="AS33" s="261" t="s">
        <v>326</v>
      </c>
      <c r="AT33" s="253" t="s">
        <v>1</v>
      </c>
      <c r="AU33" s="265">
        <v>1606081.0365401099</v>
      </c>
      <c r="AV33" s="262" t="s">
        <v>84</v>
      </c>
    </row>
    <row r="34" spans="1:48" ht="12.75" x14ac:dyDescent="0.2">
      <c r="A34" s="5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8"/>
      <c r="Z34" s="48"/>
      <c r="AA34" s="48"/>
      <c r="AB34" s="48"/>
      <c r="AC34" s="48"/>
      <c r="AD34" s="48"/>
      <c r="AE34" s="48"/>
      <c r="AF34" s="6"/>
      <c r="AG34" s="7"/>
      <c r="AH34" s="4"/>
      <c r="AI34" s="4"/>
      <c r="AJ34" s="4"/>
      <c r="AR34" s="3">
        <v>26</v>
      </c>
      <c r="AS34" s="261" t="s">
        <v>327</v>
      </c>
      <c r="AT34" s="253" t="s">
        <v>1</v>
      </c>
      <c r="AU34" s="265">
        <v>31186.039544468102</v>
      </c>
      <c r="AV34" s="262" t="s">
        <v>62</v>
      </c>
    </row>
    <row r="35" spans="1:48" ht="12.75" x14ac:dyDescent="0.2">
      <c r="A35" s="5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8"/>
      <c r="Z35" s="48"/>
      <c r="AA35" s="48"/>
      <c r="AB35" s="48"/>
      <c r="AC35" s="48"/>
      <c r="AD35" s="48"/>
      <c r="AE35" s="48"/>
      <c r="AF35" s="6"/>
      <c r="AG35" s="7"/>
      <c r="AH35" s="4"/>
      <c r="AI35" s="4"/>
      <c r="AJ35" s="4"/>
      <c r="AR35" s="3">
        <v>27</v>
      </c>
      <c r="AS35" s="261" t="s">
        <v>328</v>
      </c>
      <c r="AT35" s="253" t="s">
        <v>1</v>
      </c>
      <c r="AU35" s="265">
        <v>47944.782421098702</v>
      </c>
      <c r="AV35" s="262" t="s">
        <v>62</v>
      </c>
    </row>
    <row r="36" spans="1:48" ht="12.75" x14ac:dyDescent="0.2">
      <c r="A36" s="5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8"/>
      <c r="Z36" s="48"/>
      <c r="AA36" s="48"/>
      <c r="AB36" s="48"/>
      <c r="AC36" s="48"/>
      <c r="AD36" s="48"/>
      <c r="AE36" s="48"/>
      <c r="AF36" s="6"/>
      <c r="AG36" s="7"/>
      <c r="AH36" s="4"/>
      <c r="AI36" s="4"/>
      <c r="AJ36" s="4"/>
      <c r="AR36" s="3">
        <v>28</v>
      </c>
      <c r="AS36" s="261" t="s">
        <v>329</v>
      </c>
      <c r="AT36" s="253" t="s">
        <v>1</v>
      </c>
      <c r="AU36" s="259">
        <v>25.492782592773438</v>
      </c>
      <c r="AV36" s="262" t="s">
        <v>83</v>
      </c>
    </row>
    <row r="37" spans="1:48" ht="12" x14ac:dyDescent="0.2">
      <c r="A37" s="5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37"/>
      <c r="AF37" s="37"/>
      <c r="AG37" s="7"/>
      <c r="AH37" s="4"/>
      <c r="AI37" s="4"/>
      <c r="AJ37" s="4"/>
      <c r="AR37" s="3">
        <v>29</v>
      </c>
      <c r="AS37" s="261" t="s">
        <v>330</v>
      </c>
      <c r="AT37" s="253" t="s">
        <v>1</v>
      </c>
      <c r="AU37" s="259">
        <v>1812.80003929138</v>
      </c>
      <c r="AV37" s="262" t="s">
        <v>92</v>
      </c>
    </row>
    <row r="38" spans="1:48" ht="12" x14ac:dyDescent="0.2">
      <c r="A38" s="5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37"/>
      <c r="AF38" s="37"/>
      <c r="AG38" s="7"/>
      <c r="AH38" s="4"/>
      <c r="AI38" s="4"/>
      <c r="AJ38" s="4"/>
      <c r="AR38" s="3">
        <v>30</v>
      </c>
      <c r="AS38" s="261" t="s">
        <v>331</v>
      </c>
      <c r="AT38" s="253" t="s">
        <v>1</v>
      </c>
      <c r="AU38" s="259">
        <v>31.729436874389648</v>
      </c>
      <c r="AV38" s="262" t="s">
        <v>83</v>
      </c>
    </row>
    <row r="39" spans="1:48" ht="12" x14ac:dyDescent="0.2">
      <c r="A39" s="5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37"/>
      <c r="AF39" s="37"/>
      <c r="AG39" s="7"/>
      <c r="AH39" s="4"/>
      <c r="AI39" s="4"/>
      <c r="AJ39" s="4"/>
      <c r="AR39" s="3">
        <v>31</v>
      </c>
      <c r="AS39" s="261" t="s">
        <v>332</v>
      </c>
      <c r="AT39" s="253" t="s">
        <v>1</v>
      </c>
      <c r="AU39" s="265">
        <v>57340.857372233397</v>
      </c>
      <c r="AV39" s="262" t="s">
        <v>84</v>
      </c>
    </row>
    <row r="40" spans="1:48" ht="12" x14ac:dyDescent="0.2">
      <c r="A40" s="5"/>
      <c r="B40" s="247"/>
      <c r="C40" s="248"/>
      <c r="D40" s="248"/>
      <c r="E40" s="248"/>
      <c r="F40" s="248"/>
      <c r="G40" s="248"/>
      <c r="H40" s="248"/>
      <c r="I40" s="248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390" t="str">
        <f>"Maximum Utilization Ratio : " &amp; FIXED(Summary!AT36,2)</f>
        <v>Maximum Utilization Ratio : 48.55</v>
      </c>
      <c r="X40" s="391"/>
      <c r="Y40" s="391"/>
      <c r="Z40" s="391"/>
      <c r="AA40" s="391"/>
      <c r="AB40" s="391"/>
      <c r="AC40" s="391"/>
      <c r="AD40" s="391"/>
      <c r="AE40" s="391"/>
      <c r="AF40" s="392"/>
      <c r="AG40" s="7"/>
      <c r="AH40" s="4"/>
      <c r="AI40" s="4"/>
      <c r="AJ40" s="4"/>
      <c r="AR40" s="3">
        <v>32</v>
      </c>
      <c r="AS40" s="261" t="s">
        <v>333</v>
      </c>
      <c r="AT40" s="253" t="s">
        <v>1</v>
      </c>
      <c r="AU40" s="265">
        <v>3785433682.4067998</v>
      </c>
      <c r="AV40" s="262" t="s">
        <v>98</v>
      </c>
    </row>
    <row r="41" spans="1:48" ht="11.25" thickBot="1" x14ac:dyDescent="0.25">
      <c r="A41" s="5"/>
      <c r="B41" s="5"/>
      <c r="C41" s="6"/>
      <c r="D41" s="6"/>
      <c r="E41" s="6"/>
      <c r="F41" s="6"/>
      <c r="G41" s="6"/>
      <c r="H41" s="1"/>
      <c r="I41" s="6"/>
      <c r="J41" s="6"/>
      <c r="K41" s="1"/>
      <c r="L41" s="11"/>
      <c r="M41" s="14"/>
      <c r="N41" s="4"/>
      <c r="O41" s="4"/>
      <c r="P41" s="4"/>
      <c r="Q41" s="4"/>
      <c r="R41" s="4"/>
      <c r="S41" s="4"/>
      <c r="T41" s="4"/>
      <c r="U41" s="4"/>
      <c r="V41" s="4"/>
      <c r="W41" s="393"/>
      <c r="X41" s="394"/>
      <c r="Y41" s="394"/>
      <c r="Z41" s="394"/>
      <c r="AA41" s="394"/>
      <c r="AB41" s="394"/>
      <c r="AC41" s="394"/>
      <c r="AD41" s="394"/>
      <c r="AE41" s="394"/>
      <c r="AF41" s="395"/>
      <c r="AG41" s="7"/>
      <c r="AH41" s="4"/>
      <c r="AI41" s="4"/>
      <c r="AJ41" s="4"/>
      <c r="AR41" s="3">
        <v>33</v>
      </c>
      <c r="AS41" s="264" t="s">
        <v>253</v>
      </c>
      <c r="AT41" s="253" t="s">
        <v>1</v>
      </c>
      <c r="AU41" s="259">
        <v>90</v>
      </c>
      <c r="AV41" s="262" t="s">
        <v>337</v>
      </c>
    </row>
    <row r="42" spans="1:48" ht="12.75" x14ac:dyDescent="0.2">
      <c r="A42" s="5"/>
      <c r="B42" s="51"/>
      <c r="C42" s="6"/>
      <c r="D42" s="6"/>
      <c r="E42" s="6"/>
      <c r="F42" s="6"/>
      <c r="G42" s="6"/>
      <c r="H42" s="1"/>
      <c r="I42" s="6"/>
      <c r="J42" s="6"/>
      <c r="K42" s="1"/>
      <c r="L42" s="11"/>
      <c r="M42" s="14"/>
      <c r="N42" s="4"/>
      <c r="O42" s="4"/>
      <c r="P42" s="4"/>
      <c r="Q42" s="4"/>
      <c r="R42" s="6"/>
      <c r="S42" s="4"/>
      <c r="T42" s="4"/>
      <c r="U42" s="24"/>
      <c r="V42" s="481"/>
      <c r="W42" s="482"/>
      <c r="X42" s="482"/>
      <c r="Y42" s="6"/>
      <c r="Z42" s="12"/>
      <c r="AA42" s="12"/>
      <c r="AB42" s="12"/>
      <c r="AC42" s="6"/>
      <c r="AD42" s="6"/>
      <c r="AE42" s="6"/>
      <c r="AF42" s="50"/>
      <c r="AG42" s="7"/>
      <c r="AH42" s="4"/>
      <c r="AI42" s="4"/>
      <c r="AJ42" s="4"/>
      <c r="AR42" s="3">
        <v>34</v>
      </c>
      <c r="AS42" s="266" t="s">
        <v>91</v>
      </c>
      <c r="AT42" s="253" t="s">
        <v>1</v>
      </c>
      <c r="AU42" s="259">
        <v>14.800000190734863</v>
      </c>
      <c r="AV42" s="262" t="s">
        <v>83</v>
      </c>
    </row>
    <row r="43" spans="1:48" ht="12.75" x14ac:dyDescent="0.2">
      <c r="A43" s="5"/>
      <c r="B43" s="52"/>
      <c r="C43" s="6"/>
      <c r="D43" s="6"/>
      <c r="E43" s="6"/>
      <c r="F43" s="6"/>
      <c r="G43" s="6"/>
      <c r="H43" s="1"/>
      <c r="I43" s="6"/>
      <c r="J43" s="6"/>
      <c r="K43" s="1"/>
      <c r="L43" s="11"/>
      <c r="M43" s="14"/>
      <c r="N43" s="4"/>
      <c r="O43" s="4"/>
      <c r="P43" s="4"/>
      <c r="Q43" s="4"/>
      <c r="R43" s="6"/>
      <c r="S43" s="4"/>
      <c r="T43" s="4"/>
      <c r="U43" s="24"/>
      <c r="V43" s="38"/>
      <c r="W43" s="39"/>
      <c r="X43" s="39"/>
      <c r="Y43" s="6"/>
      <c r="Z43" s="12"/>
      <c r="AA43" s="12"/>
      <c r="AB43" s="12"/>
      <c r="AC43" s="6"/>
      <c r="AD43" s="6"/>
      <c r="AE43" s="6"/>
      <c r="AF43" s="50"/>
      <c r="AG43" s="7"/>
      <c r="AH43" s="4"/>
      <c r="AI43" s="4"/>
      <c r="AJ43" s="4"/>
      <c r="AR43" s="3">
        <v>35</v>
      </c>
      <c r="AS43" s="266" t="s">
        <v>339</v>
      </c>
      <c r="AT43" s="253" t="s">
        <v>1</v>
      </c>
      <c r="AU43" s="259">
        <v>9.5500001907348633</v>
      </c>
      <c r="AV43" s="262" t="s">
        <v>83</v>
      </c>
    </row>
    <row r="44" spans="1:48" ht="12.75" x14ac:dyDescent="0.2">
      <c r="A44" s="5"/>
      <c r="B44" s="5"/>
      <c r="C44" s="6"/>
      <c r="D44" s="6"/>
      <c r="E44" s="6"/>
      <c r="F44" s="6"/>
      <c r="G44" s="6"/>
      <c r="H44" s="1"/>
      <c r="I44" s="6"/>
      <c r="J44" s="6"/>
      <c r="K44" s="1"/>
      <c r="L44" s="11"/>
      <c r="M44" s="14"/>
      <c r="N44" s="4"/>
      <c r="O44" s="4"/>
      <c r="P44" s="4"/>
      <c r="Q44" s="4"/>
      <c r="R44" s="6"/>
      <c r="S44" s="4"/>
      <c r="T44" s="4"/>
      <c r="U44" s="24"/>
      <c r="V44" s="481"/>
      <c r="W44" s="482"/>
      <c r="X44" s="482"/>
      <c r="Y44" s="6"/>
      <c r="Z44" s="12"/>
      <c r="AA44" s="12"/>
      <c r="AB44" s="12"/>
      <c r="AC44" s="6"/>
      <c r="AD44" s="6"/>
      <c r="AE44" s="6"/>
      <c r="AF44" s="50"/>
      <c r="AG44" s="7"/>
      <c r="AH44" s="4"/>
      <c r="AI44" s="4"/>
      <c r="AJ44" s="4"/>
      <c r="AR44" s="3">
        <v>36</v>
      </c>
      <c r="AS44" s="267" t="s">
        <v>342</v>
      </c>
      <c r="AT44" s="253" t="s">
        <v>1</v>
      </c>
      <c r="AU44" s="259">
        <v>51.5</v>
      </c>
      <c r="AV44" s="262" t="s">
        <v>83</v>
      </c>
    </row>
    <row r="45" spans="1:48" ht="12.75" x14ac:dyDescent="0.2">
      <c r="A45" s="5"/>
      <c r="B45" s="53"/>
      <c r="C45" s="6"/>
      <c r="D45" s="6"/>
      <c r="E45" s="6"/>
      <c r="F45" s="6"/>
      <c r="G45" s="6"/>
      <c r="H45" s="1"/>
      <c r="I45" s="6"/>
      <c r="J45" s="6"/>
      <c r="K45" s="1"/>
      <c r="L45" s="33"/>
      <c r="M45" s="33"/>
      <c r="N45" s="34"/>
      <c r="O45" s="483"/>
      <c r="P45" s="484"/>
      <c r="Q45" s="34"/>
      <c r="R45" s="33"/>
      <c r="S45" s="34"/>
      <c r="T45" s="483"/>
      <c r="U45" s="484"/>
      <c r="V45" s="34"/>
      <c r="W45" s="33"/>
      <c r="X45" s="34"/>
      <c r="Y45" s="483"/>
      <c r="Z45" s="484"/>
      <c r="AA45" s="12"/>
      <c r="AB45" s="12"/>
      <c r="AC45" s="6"/>
      <c r="AD45" s="6"/>
      <c r="AE45" s="6"/>
      <c r="AF45" s="50"/>
      <c r="AG45" s="7"/>
      <c r="AH45" s="4"/>
      <c r="AI45" s="4"/>
      <c r="AJ45" s="4"/>
      <c r="AR45" s="3">
        <v>37</v>
      </c>
      <c r="AS45" s="267" t="s">
        <v>344</v>
      </c>
      <c r="AT45" s="253" t="s">
        <v>1</v>
      </c>
      <c r="AU45" s="259">
        <v>51.5</v>
      </c>
      <c r="AV45" s="262" t="s">
        <v>83</v>
      </c>
    </row>
    <row r="46" spans="1:48" ht="12" x14ac:dyDescent="0.2">
      <c r="A46" s="5"/>
      <c r="B46" s="51"/>
      <c r="C46" s="6"/>
      <c r="D46" s="6"/>
      <c r="E46" s="6"/>
      <c r="F46" s="6"/>
      <c r="G46" s="6"/>
      <c r="H46" s="1"/>
      <c r="I46" s="6"/>
      <c r="J46" s="6"/>
      <c r="K46" s="1"/>
      <c r="L46" s="11"/>
      <c r="M46" s="14"/>
      <c r="N46" s="4"/>
      <c r="O46" s="4"/>
      <c r="P46" s="4"/>
      <c r="Q46" s="4"/>
      <c r="R46" s="6"/>
      <c r="S46" s="4"/>
      <c r="T46" s="4"/>
      <c r="U46" s="4"/>
      <c r="V46" s="6"/>
      <c r="W46" s="4"/>
      <c r="X46" s="4"/>
      <c r="Y46" s="4"/>
      <c r="Z46" s="12"/>
      <c r="AA46" s="12"/>
      <c r="AB46" s="12"/>
      <c r="AC46" s="6"/>
      <c r="AD46" s="6"/>
      <c r="AE46" s="6"/>
      <c r="AF46" s="50"/>
      <c r="AG46" s="7"/>
      <c r="AH46" s="4"/>
      <c r="AI46" s="4"/>
      <c r="AJ46" s="4"/>
      <c r="AR46" s="3">
        <v>38</v>
      </c>
      <c r="AS46" s="267" t="s">
        <v>343</v>
      </c>
      <c r="AT46" s="253" t="s">
        <v>1</v>
      </c>
      <c r="AU46" s="259">
        <v>53</v>
      </c>
      <c r="AV46" s="262" t="s">
        <v>83</v>
      </c>
    </row>
    <row r="47" spans="1:48" ht="12.75" x14ac:dyDescent="0.2">
      <c r="A47" s="5"/>
      <c r="B47" s="21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41"/>
      <c r="S47" s="41"/>
      <c r="T47" s="41"/>
      <c r="U47" s="41"/>
      <c r="V47" s="41"/>
      <c r="W47" s="41"/>
      <c r="X47" s="37"/>
      <c r="Y47" s="41"/>
      <c r="Z47" s="41"/>
      <c r="AA47" s="41"/>
      <c r="AB47" s="41"/>
      <c r="AC47" s="41"/>
      <c r="AD47" s="41"/>
      <c r="AE47" s="41"/>
      <c r="AF47" s="54"/>
      <c r="AG47" s="7"/>
      <c r="AH47" s="4"/>
      <c r="AI47" s="4"/>
      <c r="AJ47" s="4"/>
      <c r="AR47" s="3">
        <v>39</v>
      </c>
      <c r="AS47" s="267" t="s">
        <v>345</v>
      </c>
      <c r="AT47" s="253" t="s">
        <v>1</v>
      </c>
      <c r="AU47" s="259">
        <v>53</v>
      </c>
      <c r="AV47" s="262" t="s">
        <v>83</v>
      </c>
    </row>
    <row r="48" spans="1:48" ht="12.75" x14ac:dyDescent="0.2">
      <c r="A48" s="5"/>
      <c r="B48" s="2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37"/>
      <c r="R48" s="41"/>
      <c r="S48" s="41"/>
      <c r="T48" s="41"/>
      <c r="U48" s="41"/>
      <c r="V48" s="41"/>
      <c r="W48" s="41"/>
      <c r="X48" s="37"/>
      <c r="Y48" s="41"/>
      <c r="Z48" s="41"/>
      <c r="AA48" s="41"/>
      <c r="AB48" s="41"/>
      <c r="AC48" s="41"/>
      <c r="AD48" s="41"/>
      <c r="AE48" s="41"/>
      <c r="AF48" s="54"/>
      <c r="AG48" s="7"/>
      <c r="AH48" s="4"/>
      <c r="AI48" s="4"/>
      <c r="AJ48" s="4"/>
      <c r="AR48" s="3">
        <v>40</v>
      </c>
      <c r="AS48" s="268" t="s">
        <v>360</v>
      </c>
      <c r="AT48" s="253" t="s">
        <v>1</v>
      </c>
      <c r="AU48" s="259">
        <v>4758993.4207356302</v>
      </c>
      <c r="AV48" s="262" t="s">
        <v>84</v>
      </c>
    </row>
    <row r="49" spans="1:48" ht="12.75" x14ac:dyDescent="0.2">
      <c r="A49" s="5"/>
      <c r="B49" s="2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37"/>
      <c r="R49" s="41"/>
      <c r="S49" s="41"/>
      <c r="T49" s="41"/>
      <c r="U49" s="41"/>
      <c r="V49" s="41"/>
      <c r="W49" s="41"/>
      <c r="X49" s="37"/>
      <c r="Y49" s="41"/>
      <c r="Z49" s="41"/>
      <c r="AA49" s="41"/>
      <c r="AB49" s="41"/>
      <c r="AC49" s="41"/>
      <c r="AD49" s="41"/>
      <c r="AE49" s="41"/>
      <c r="AF49" s="54"/>
      <c r="AG49" s="7"/>
      <c r="AH49" s="4"/>
      <c r="AI49" s="4"/>
      <c r="AJ49" s="4"/>
      <c r="AR49" s="3">
        <v>41</v>
      </c>
      <c r="AS49" s="268" t="s">
        <v>361</v>
      </c>
      <c r="AT49" s="253" t="s">
        <v>1</v>
      </c>
      <c r="AU49" s="259">
        <v>1606081.0365401099</v>
      </c>
      <c r="AV49" s="262" t="s">
        <v>84</v>
      </c>
    </row>
    <row r="50" spans="1:48" ht="12" x14ac:dyDescent="0.2">
      <c r="A50" s="5"/>
      <c r="B50" s="21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55"/>
      <c r="AG50" s="7"/>
      <c r="AH50" s="4"/>
      <c r="AI50" s="4"/>
      <c r="AJ50" s="4"/>
      <c r="AR50" s="3">
        <v>42</v>
      </c>
      <c r="AS50" s="268" t="s">
        <v>362</v>
      </c>
      <c r="AT50" s="253" t="s">
        <v>1</v>
      </c>
      <c r="AU50" s="259">
        <v>43.882470176266295</v>
      </c>
      <c r="AV50" s="262" t="s">
        <v>83</v>
      </c>
    </row>
    <row r="51" spans="1:48" ht="12" x14ac:dyDescent="0.2">
      <c r="A51" s="5"/>
      <c r="B51" s="56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55"/>
      <c r="AG51" s="7"/>
      <c r="AH51" s="4"/>
      <c r="AI51" s="4"/>
      <c r="AJ51" s="4"/>
      <c r="AR51" s="3">
        <v>43</v>
      </c>
      <c r="AS51" s="268" t="s">
        <v>363</v>
      </c>
      <c r="AT51" s="253" t="s">
        <v>1</v>
      </c>
      <c r="AU51" s="259">
        <v>25.492782536853099</v>
      </c>
      <c r="AV51" s="262" t="s">
        <v>83</v>
      </c>
    </row>
    <row r="52" spans="1:48" x14ac:dyDescent="0.2">
      <c r="A52" s="5"/>
      <c r="B52" s="21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55"/>
      <c r="AG52" s="7"/>
      <c r="AH52" s="4"/>
      <c r="AI52" s="4"/>
      <c r="AJ52" s="4"/>
    </row>
    <row r="53" spans="1:48" x14ac:dyDescent="0.2">
      <c r="A53" s="5"/>
      <c r="B53" s="5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55"/>
      <c r="AG53" s="7"/>
      <c r="AH53" s="4"/>
      <c r="AI53" s="4"/>
      <c r="AJ53" s="4"/>
    </row>
    <row r="54" spans="1:48" x14ac:dyDescent="0.2">
      <c r="A54" s="5"/>
      <c r="B54" s="21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55"/>
      <c r="AG54" s="7"/>
      <c r="AH54" s="4"/>
      <c r="AI54" s="4"/>
      <c r="AJ54" s="4"/>
    </row>
    <row r="55" spans="1:48" ht="12.75" x14ac:dyDescent="0.2">
      <c r="A55" s="5"/>
      <c r="B55" s="21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41"/>
      <c r="X55" s="41"/>
      <c r="Y55" s="41"/>
      <c r="Z55" s="37"/>
      <c r="AA55" s="37"/>
      <c r="AB55" s="37"/>
      <c r="AC55" s="37"/>
      <c r="AD55" s="37"/>
      <c r="AE55" s="37"/>
      <c r="AF55" s="55"/>
      <c r="AG55" s="7"/>
      <c r="AH55" s="4"/>
      <c r="AI55" s="4"/>
      <c r="AJ55" s="4"/>
    </row>
    <row r="56" spans="1:48" x14ac:dyDescent="0.2">
      <c r="A56" s="5"/>
      <c r="B56" s="21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55"/>
      <c r="AG56" s="7"/>
      <c r="AH56" s="4"/>
      <c r="AI56" s="4"/>
      <c r="AJ56" s="4"/>
    </row>
    <row r="57" spans="1:48" x14ac:dyDescent="0.2">
      <c r="A57" s="5"/>
      <c r="B57" s="21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55"/>
      <c r="AG57" s="7"/>
      <c r="AH57" s="4"/>
      <c r="AI57" s="4"/>
      <c r="AJ57" s="4"/>
    </row>
    <row r="58" spans="1:48" x14ac:dyDescent="0.2">
      <c r="A58" s="5"/>
      <c r="B58" s="21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55"/>
      <c r="AG58" s="7"/>
      <c r="AH58" s="4"/>
      <c r="AI58" s="4"/>
      <c r="AJ58" s="4"/>
    </row>
    <row r="59" spans="1:48" ht="12.75" x14ac:dyDescent="0.2">
      <c r="A59" s="5"/>
      <c r="B59" s="57"/>
      <c r="C59" s="37"/>
      <c r="D59" s="37"/>
      <c r="E59" s="37"/>
      <c r="F59" s="479" t="s">
        <v>243</v>
      </c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0"/>
      <c r="Z59" s="480"/>
      <c r="AA59" s="480"/>
      <c r="AB59" s="37"/>
      <c r="AC59" s="37"/>
      <c r="AD59" s="37"/>
      <c r="AE59" s="37"/>
      <c r="AF59" s="55"/>
      <c r="AG59" s="7"/>
      <c r="AH59" s="4"/>
      <c r="AI59" s="4"/>
      <c r="AJ59" s="4"/>
    </row>
    <row r="60" spans="1:48" ht="12.75" x14ac:dyDescent="0.2">
      <c r="A60" s="5"/>
      <c r="B60" s="57"/>
      <c r="C60" s="37"/>
      <c r="D60" s="37"/>
      <c r="E60" s="37"/>
      <c r="F60" s="37"/>
      <c r="G60" s="37"/>
      <c r="H60" s="41"/>
      <c r="I60" s="41"/>
      <c r="J60" s="41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55"/>
      <c r="AG60" s="7"/>
      <c r="AH60" s="4"/>
      <c r="AI60" s="4"/>
      <c r="AJ60" s="4"/>
    </row>
    <row r="61" spans="1:48" ht="11.25" thickBot="1" x14ac:dyDescent="0.25">
      <c r="A61" s="5"/>
      <c r="B61" s="58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60"/>
      <c r="AG61" s="7"/>
      <c r="AH61" s="4"/>
      <c r="AI61" s="4"/>
      <c r="AJ61" s="4"/>
    </row>
    <row r="62" spans="1:48" ht="12.75" x14ac:dyDescent="0.2">
      <c r="A62" s="62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61"/>
      <c r="X62" s="61"/>
      <c r="Y62" s="61"/>
      <c r="Z62" s="49"/>
      <c r="AA62" s="49"/>
      <c r="AB62" s="49"/>
      <c r="AC62" s="49"/>
      <c r="AD62" s="49"/>
      <c r="AE62" s="49"/>
      <c r="AF62" s="49"/>
      <c r="AG62" s="63"/>
      <c r="AH62" s="4"/>
      <c r="AI62" s="4"/>
      <c r="AJ62" s="4"/>
    </row>
    <row r="63" spans="1:48" x14ac:dyDescent="0.2">
      <c r="A63" s="127"/>
      <c r="B63" s="174"/>
      <c r="C63" s="174"/>
      <c r="D63" s="174"/>
      <c r="E63" s="174"/>
      <c r="F63" s="174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79"/>
      <c r="AH63" s="4"/>
      <c r="AI63" s="4"/>
      <c r="AJ63" s="4"/>
    </row>
    <row r="64" spans="1:48" x14ac:dyDescent="0.2">
      <c r="A64" s="5"/>
      <c r="B64" s="27" t="s">
        <v>269</v>
      </c>
      <c r="AB64" s="4"/>
      <c r="AC64" s="4"/>
      <c r="AD64" s="4"/>
      <c r="AE64" s="4"/>
      <c r="AF64" s="4"/>
      <c r="AG64" s="7"/>
      <c r="AH64" s="4"/>
      <c r="AI64" s="4"/>
      <c r="AJ64" s="4"/>
    </row>
    <row r="65" spans="1:36" s="124" customFormat="1" x14ac:dyDescent="0.2">
      <c r="A65" s="132"/>
      <c r="B65" s="125" t="s">
        <v>109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143" t="s">
        <v>1</v>
      </c>
      <c r="X65" s="485">
        <v>0.9</v>
      </c>
      <c r="Y65" s="486"/>
      <c r="Z65" s="486"/>
      <c r="AA65" s="487"/>
      <c r="AB65" s="125"/>
      <c r="AC65" s="125"/>
      <c r="AD65" s="125"/>
      <c r="AE65" s="125"/>
      <c r="AF65" s="125"/>
      <c r="AG65" s="133"/>
      <c r="AH65" s="125"/>
      <c r="AI65" s="125"/>
      <c r="AJ65" s="125"/>
    </row>
    <row r="66" spans="1:36" s="124" customFormat="1" x14ac:dyDescent="0.2">
      <c r="A66" s="132"/>
      <c r="B66" s="125" t="s">
        <v>141</v>
      </c>
      <c r="C66" s="125"/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 t="s">
        <v>53</v>
      </c>
      <c r="S66" s="125"/>
      <c r="T66" s="125"/>
      <c r="U66" s="125"/>
      <c r="V66" s="125"/>
      <c r="W66" s="143" t="s">
        <v>1</v>
      </c>
      <c r="X66" s="522">
        <v>0.6</v>
      </c>
      <c r="Y66" s="523"/>
      <c r="Z66" s="523"/>
      <c r="AA66" s="524"/>
      <c r="AB66" s="125"/>
      <c r="AC66" s="125"/>
      <c r="AD66" s="125"/>
      <c r="AE66" s="125"/>
      <c r="AF66" s="125"/>
      <c r="AG66" s="133"/>
      <c r="AH66" s="125"/>
      <c r="AI66" s="125"/>
      <c r="AJ66" s="125"/>
    </row>
    <row r="67" spans="1:36" s="124" customFormat="1" ht="12" x14ac:dyDescent="0.2">
      <c r="A67" s="132"/>
      <c r="B67" s="125" t="s">
        <v>142</v>
      </c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 t="s">
        <v>158</v>
      </c>
      <c r="S67" s="125"/>
      <c r="T67" s="125"/>
      <c r="U67" s="125"/>
      <c r="V67" s="125"/>
      <c r="W67" s="143" t="s">
        <v>1</v>
      </c>
      <c r="X67" s="531">
        <v>0.6</v>
      </c>
      <c r="Y67" s="532"/>
      <c r="Z67" s="532"/>
      <c r="AA67" s="533"/>
      <c r="AB67" s="125"/>
      <c r="AC67" s="125"/>
      <c r="AD67" s="125"/>
      <c r="AE67" s="125"/>
      <c r="AF67" s="125"/>
      <c r="AG67" s="133"/>
      <c r="AH67" s="125"/>
      <c r="AI67" s="125"/>
      <c r="AJ67" s="125"/>
    </row>
    <row r="68" spans="1:36" s="124" customFormat="1" x14ac:dyDescent="0.2">
      <c r="A68" s="132"/>
      <c r="AB68" s="125"/>
      <c r="AC68" s="125"/>
      <c r="AD68" s="125"/>
      <c r="AE68" s="125"/>
      <c r="AF68" s="125"/>
      <c r="AG68" s="133"/>
      <c r="AH68" s="125"/>
      <c r="AI68" s="125"/>
      <c r="AJ68" s="125"/>
    </row>
    <row r="69" spans="1:36" s="124" customFormat="1" x14ac:dyDescent="0.2">
      <c r="A69" s="132"/>
      <c r="B69" s="27" t="s">
        <v>268</v>
      </c>
      <c r="AB69" s="125"/>
      <c r="AC69" s="125"/>
      <c r="AD69" s="125"/>
      <c r="AE69" s="125"/>
      <c r="AF69" s="125"/>
      <c r="AG69" s="133"/>
      <c r="AH69" s="125"/>
      <c r="AI69" s="125"/>
      <c r="AJ69" s="125"/>
    </row>
    <row r="70" spans="1:36" s="124" customFormat="1" x14ac:dyDescent="0.2">
      <c r="A70" s="132"/>
      <c r="B70" s="159" t="s">
        <v>162</v>
      </c>
      <c r="AB70" s="125"/>
      <c r="AC70" s="125"/>
      <c r="AD70" s="125"/>
      <c r="AE70" s="125"/>
      <c r="AF70" s="125"/>
      <c r="AG70" s="133"/>
      <c r="AH70" s="125"/>
      <c r="AI70" s="125"/>
      <c r="AJ70" s="125"/>
    </row>
    <row r="71" spans="1:36" s="124" customFormat="1" ht="12" x14ac:dyDescent="0.2">
      <c r="A71" s="132"/>
      <c r="B71" s="125" t="s">
        <v>163</v>
      </c>
      <c r="C71" s="125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 t="s">
        <v>159</v>
      </c>
      <c r="S71" s="125"/>
      <c r="T71" s="125"/>
      <c r="U71" s="125"/>
      <c r="V71" s="125"/>
      <c r="W71" s="143" t="s">
        <v>1</v>
      </c>
      <c r="X71" s="488">
        <v>280</v>
      </c>
      <c r="Y71" s="489"/>
      <c r="Z71" s="489"/>
      <c r="AA71" s="490"/>
      <c r="AB71" s="125"/>
      <c r="AC71" s="125"/>
      <c r="AD71" s="125"/>
      <c r="AE71" s="125"/>
      <c r="AF71" s="125"/>
      <c r="AG71" s="133"/>
      <c r="AH71" s="125"/>
      <c r="AI71" s="125"/>
      <c r="AJ71" s="125"/>
    </row>
    <row r="72" spans="1:36" s="124" customFormat="1" ht="12" x14ac:dyDescent="0.2">
      <c r="A72" s="132"/>
      <c r="B72" s="125" t="s">
        <v>164</v>
      </c>
      <c r="C72" s="125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 t="s">
        <v>160</v>
      </c>
      <c r="S72" s="125"/>
      <c r="T72" s="125"/>
      <c r="U72" s="125"/>
      <c r="V72" s="125"/>
      <c r="W72" s="143" t="s">
        <v>1</v>
      </c>
      <c r="X72" s="488">
        <v>179</v>
      </c>
      <c r="Y72" s="489"/>
      <c r="Z72" s="489"/>
      <c r="AA72" s="490"/>
      <c r="AB72" s="125"/>
      <c r="AC72" s="125"/>
      <c r="AD72" s="125"/>
      <c r="AE72" s="125"/>
      <c r="AF72" s="125"/>
      <c r="AG72" s="133"/>
      <c r="AH72" s="125"/>
      <c r="AI72" s="125"/>
      <c r="AJ72" s="125"/>
    </row>
    <row r="73" spans="1:36" s="124" customFormat="1" ht="12" x14ac:dyDescent="0.2">
      <c r="A73" s="132"/>
      <c r="B73" s="125" t="s">
        <v>165</v>
      </c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 t="s">
        <v>161</v>
      </c>
      <c r="S73" s="125"/>
      <c r="T73" s="125"/>
      <c r="U73" s="125"/>
      <c r="V73" s="125"/>
      <c r="W73" s="143" t="s">
        <v>1</v>
      </c>
      <c r="X73" s="488">
        <v>280</v>
      </c>
      <c r="Y73" s="489"/>
      <c r="Z73" s="489"/>
      <c r="AA73" s="490"/>
      <c r="AB73" s="125"/>
      <c r="AC73" s="125"/>
      <c r="AD73" s="125"/>
      <c r="AE73" s="125"/>
      <c r="AF73" s="125"/>
      <c r="AG73" s="133"/>
      <c r="AH73" s="125"/>
      <c r="AI73" s="125"/>
      <c r="AJ73" s="125"/>
    </row>
    <row r="74" spans="1:36" s="124" customFormat="1" ht="12" x14ac:dyDescent="0.2">
      <c r="A74" s="134"/>
      <c r="B74" s="125" t="s">
        <v>166</v>
      </c>
      <c r="C74" s="125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 t="s">
        <v>167</v>
      </c>
      <c r="S74" s="125"/>
      <c r="T74" s="125"/>
      <c r="U74" s="125"/>
      <c r="V74" s="125"/>
      <c r="W74" s="143" t="s">
        <v>1</v>
      </c>
      <c r="X74" s="488">
        <v>179</v>
      </c>
      <c r="Y74" s="489"/>
      <c r="Z74" s="489"/>
      <c r="AA74" s="490"/>
      <c r="AB74" s="125"/>
      <c r="AC74" s="125"/>
      <c r="AD74" s="125"/>
      <c r="AE74" s="125"/>
      <c r="AF74" s="125"/>
      <c r="AG74" s="135"/>
      <c r="AH74" s="125"/>
      <c r="AI74" s="125"/>
      <c r="AJ74" s="125"/>
    </row>
    <row r="75" spans="1:36" s="124" customFormat="1" ht="12" x14ac:dyDescent="0.2">
      <c r="A75" s="134"/>
      <c r="B75" s="125" t="s">
        <v>173</v>
      </c>
      <c r="C75" s="125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 t="s">
        <v>68</v>
      </c>
      <c r="S75" s="125"/>
      <c r="T75" s="125"/>
      <c r="U75" s="125"/>
      <c r="V75" s="125"/>
      <c r="W75" s="143" t="s">
        <v>1</v>
      </c>
      <c r="X75" s="491">
        <f>X66</f>
        <v>0.6</v>
      </c>
      <c r="Y75" s="492"/>
      <c r="Z75" s="492"/>
      <c r="AA75" s="493"/>
      <c r="AB75" s="138"/>
      <c r="AC75" s="138"/>
      <c r="AD75" s="138"/>
      <c r="AE75" s="138"/>
      <c r="AF75" s="138"/>
      <c r="AG75" s="135"/>
      <c r="AH75" s="125"/>
      <c r="AI75" s="125"/>
      <c r="AJ75" s="125"/>
    </row>
    <row r="76" spans="1:36" s="124" customFormat="1" x14ac:dyDescent="0.2">
      <c r="A76" s="134"/>
      <c r="AB76" s="138"/>
      <c r="AC76" s="138"/>
      <c r="AD76" s="138"/>
      <c r="AE76" s="138"/>
      <c r="AF76" s="138"/>
      <c r="AG76" s="135"/>
      <c r="AH76" s="125"/>
      <c r="AI76" s="125"/>
      <c r="AJ76" s="125"/>
    </row>
    <row r="77" spans="1:36" s="124" customFormat="1" x14ac:dyDescent="0.2">
      <c r="A77" s="134"/>
      <c r="B77" s="27" t="s">
        <v>267</v>
      </c>
      <c r="AB77" s="138"/>
      <c r="AC77" s="138"/>
      <c r="AD77" s="138"/>
      <c r="AE77" s="138"/>
      <c r="AF77" s="138"/>
      <c r="AG77" s="135"/>
      <c r="AH77" s="125"/>
      <c r="AI77" s="125"/>
      <c r="AJ77" s="125"/>
    </row>
    <row r="78" spans="1:36" s="124" customFormat="1" x14ac:dyDescent="0.2">
      <c r="A78" s="134"/>
      <c r="B78" s="180" t="s">
        <v>249</v>
      </c>
      <c r="C78" s="125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43" t="s">
        <v>1</v>
      </c>
      <c r="X78" s="428" t="s">
        <v>250</v>
      </c>
      <c r="Y78" s="429"/>
      <c r="Z78" s="429"/>
      <c r="AA78" s="430"/>
      <c r="AB78" s="138"/>
      <c r="AC78" s="138"/>
      <c r="AD78" s="138"/>
      <c r="AE78" s="138"/>
      <c r="AF78" s="138"/>
      <c r="AG78" s="135"/>
      <c r="AH78" s="125"/>
      <c r="AI78" s="125"/>
      <c r="AJ78" s="125"/>
    </row>
    <row r="79" spans="1:36" s="124" customFormat="1" x14ac:dyDescent="0.15">
      <c r="A79" s="134"/>
      <c r="B79" s="180" t="s">
        <v>265</v>
      </c>
      <c r="C79" s="137"/>
      <c r="D79" s="137"/>
      <c r="E79" s="137"/>
      <c r="F79" s="137"/>
      <c r="G79" s="137"/>
      <c r="H79" s="137"/>
      <c r="I79" s="137"/>
      <c r="J79" s="137"/>
      <c r="K79" s="136"/>
      <c r="L79" s="137"/>
      <c r="M79" s="137"/>
      <c r="N79" s="137"/>
      <c r="O79" s="137"/>
      <c r="P79" s="137"/>
      <c r="Q79" s="137"/>
      <c r="R79" s="137"/>
      <c r="S79" s="137"/>
      <c r="T79" s="138"/>
      <c r="U79" s="138"/>
      <c r="V79" s="138"/>
      <c r="W79" s="143" t="s">
        <v>1</v>
      </c>
      <c r="X79" s="428" t="s">
        <v>266</v>
      </c>
      <c r="Y79" s="429"/>
      <c r="Z79" s="429"/>
      <c r="AA79" s="430"/>
      <c r="AB79" s="138"/>
      <c r="AC79" s="138"/>
      <c r="AD79" s="138"/>
      <c r="AE79" s="138"/>
      <c r="AF79" s="138"/>
      <c r="AG79" s="135"/>
      <c r="AH79" s="125"/>
      <c r="AI79" s="125"/>
      <c r="AJ79" s="125"/>
    </row>
    <row r="80" spans="1:36" s="124" customFormat="1" ht="12" x14ac:dyDescent="0.2">
      <c r="A80" s="134"/>
      <c r="B80" s="180" t="s">
        <v>251</v>
      </c>
      <c r="C80" s="125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80" t="s">
        <v>254</v>
      </c>
      <c r="S80" s="125"/>
      <c r="T80" s="125"/>
      <c r="U80" s="125"/>
      <c r="V80" s="125"/>
      <c r="W80" s="143" t="s">
        <v>1</v>
      </c>
      <c r="X80" s="525">
        <v>12</v>
      </c>
      <c r="Y80" s="526"/>
      <c r="Z80" s="526"/>
      <c r="AA80" s="527"/>
      <c r="AB80" s="139"/>
      <c r="AC80" s="139"/>
      <c r="AD80" s="138"/>
      <c r="AE80" s="138"/>
      <c r="AF80" s="138"/>
      <c r="AG80" s="135"/>
      <c r="AH80" s="125"/>
      <c r="AI80" s="125"/>
      <c r="AJ80" s="125"/>
    </row>
    <row r="81" spans="1:36" s="124" customFormat="1" x14ac:dyDescent="0.2">
      <c r="A81" s="134"/>
      <c r="B81" s="180" t="s">
        <v>252</v>
      </c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80" t="s">
        <v>253</v>
      </c>
      <c r="S81" s="125"/>
      <c r="T81" s="125"/>
      <c r="U81" s="125"/>
      <c r="V81" s="125"/>
      <c r="W81" s="143" t="s">
        <v>1</v>
      </c>
      <c r="X81" s="525">
        <v>1000</v>
      </c>
      <c r="Y81" s="526"/>
      <c r="Z81" s="526"/>
      <c r="AA81" s="527"/>
      <c r="AB81" s="139"/>
      <c r="AC81" s="139"/>
      <c r="AD81" s="138"/>
      <c r="AE81" s="138"/>
      <c r="AF81" s="138"/>
      <c r="AG81" s="135"/>
      <c r="AH81" s="125"/>
      <c r="AI81" s="125"/>
      <c r="AJ81" s="125"/>
    </row>
    <row r="82" spans="1:36" s="124" customFormat="1" ht="12" x14ac:dyDescent="0.2">
      <c r="A82" s="134"/>
      <c r="B82" s="180" t="s">
        <v>255</v>
      </c>
      <c r="C82" s="125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80" t="s">
        <v>256</v>
      </c>
      <c r="S82" s="125"/>
      <c r="T82" s="125"/>
      <c r="U82" s="125"/>
      <c r="V82" s="125"/>
      <c r="W82" s="143" t="s">
        <v>1</v>
      </c>
      <c r="X82" s="528">
        <v>250</v>
      </c>
      <c r="Y82" s="529"/>
      <c r="Z82" s="529"/>
      <c r="AA82" s="530"/>
      <c r="AB82" s="138"/>
      <c r="AC82" s="138"/>
      <c r="AD82" s="138"/>
      <c r="AE82" s="138"/>
      <c r="AF82" s="138"/>
      <c r="AG82" s="135"/>
      <c r="AH82" s="125"/>
      <c r="AI82" s="125"/>
      <c r="AJ82" s="125"/>
    </row>
    <row r="83" spans="1:36" s="124" customFormat="1" x14ac:dyDescent="0.2">
      <c r="A83" s="134"/>
      <c r="AE83" s="138"/>
      <c r="AF83" s="138"/>
      <c r="AG83" s="135"/>
      <c r="AH83" s="125"/>
      <c r="AI83" s="125"/>
      <c r="AJ83" s="125"/>
    </row>
    <row r="84" spans="1:36" s="124" customFormat="1" x14ac:dyDescent="0.2">
      <c r="A84" s="134"/>
      <c r="AE84" s="138"/>
      <c r="AF84" s="138"/>
      <c r="AG84" s="135"/>
      <c r="AH84" s="125"/>
      <c r="AI84" s="125"/>
      <c r="AJ84" s="125"/>
    </row>
    <row r="85" spans="1:36" s="124" customFormat="1" x14ac:dyDescent="0.2">
      <c r="A85" s="134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5"/>
      <c r="AH85" s="125"/>
      <c r="AI85" s="125"/>
      <c r="AJ85" s="125"/>
    </row>
    <row r="86" spans="1:36" s="124" customFormat="1" x14ac:dyDescent="0.2">
      <c r="A86" s="134"/>
      <c r="B86" s="16"/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5"/>
      <c r="AH86" s="125"/>
      <c r="AI86" s="125"/>
      <c r="AJ86" s="125"/>
    </row>
    <row r="87" spans="1:36" s="124" customFormat="1" x14ac:dyDescent="0.2">
      <c r="A87" s="134"/>
      <c r="B87" s="16"/>
      <c r="C87" s="138"/>
      <c r="D87" s="138"/>
      <c r="E87" s="138"/>
      <c r="F87" s="138"/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5"/>
      <c r="AH87" s="125"/>
      <c r="AI87" s="125"/>
      <c r="AJ87" s="125"/>
    </row>
    <row r="88" spans="1:36" s="124" customFormat="1" x14ac:dyDescent="0.2">
      <c r="A88" s="134"/>
      <c r="B88" s="16"/>
      <c r="C88" s="138"/>
      <c r="D88" s="138"/>
      <c r="E88" s="138"/>
      <c r="F88" s="138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5"/>
      <c r="AH88" s="125"/>
      <c r="AI88" s="125"/>
      <c r="AJ88" s="125"/>
    </row>
    <row r="89" spans="1:36" s="124" customFormat="1" x14ac:dyDescent="0.2">
      <c r="A89" s="134"/>
      <c r="B89" s="180" t="s">
        <v>258</v>
      </c>
      <c r="C89" s="125"/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43" t="s">
        <v>1</v>
      </c>
      <c r="X89" s="428" t="s">
        <v>350</v>
      </c>
      <c r="Y89" s="429"/>
      <c r="Z89" s="429"/>
      <c r="AA89" s="430"/>
      <c r="AB89" s="138"/>
      <c r="AC89" s="138"/>
      <c r="AD89" s="138"/>
      <c r="AE89" s="138"/>
      <c r="AF89" s="138"/>
      <c r="AG89" s="135"/>
      <c r="AH89" s="125"/>
      <c r="AI89" s="125"/>
      <c r="AJ89" s="125"/>
    </row>
    <row r="90" spans="1:36" s="124" customFormat="1" x14ac:dyDescent="0.2">
      <c r="A90" s="134"/>
      <c r="B90" s="16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5"/>
      <c r="AH90" s="125"/>
      <c r="AI90" s="125"/>
      <c r="AJ90" s="125"/>
    </row>
    <row r="91" spans="1:36" s="124" customFormat="1" x14ac:dyDescent="0.2">
      <c r="A91" s="134"/>
      <c r="B91" s="17" t="s">
        <v>168</v>
      </c>
      <c r="C91" s="138"/>
      <c r="D91" s="138"/>
      <c r="E91" s="138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5"/>
      <c r="AH91" s="125"/>
      <c r="AI91" s="125"/>
      <c r="AJ91" s="125"/>
    </row>
    <row r="92" spans="1:36" s="124" customFormat="1" ht="12.75" x14ac:dyDescent="0.2">
      <c r="A92" s="134"/>
      <c r="B92" s="138" t="s">
        <v>116</v>
      </c>
      <c r="C92" s="138"/>
      <c r="D92" s="138"/>
      <c r="E92" s="140" t="s">
        <v>1</v>
      </c>
      <c r="F92" s="520" t="s">
        <v>349</v>
      </c>
      <c r="G92" s="521"/>
      <c r="H92" s="521"/>
      <c r="I92" s="521"/>
      <c r="J92" s="521"/>
      <c r="K92" s="521"/>
      <c r="L92" s="521"/>
      <c r="M92" s="521"/>
      <c r="N92" s="521"/>
      <c r="O92" s="521"/>
      <c r="P92" s="138"/>
      <c r="Q92" s="138" t="s">
        <v>117</v>
      </c>
      <c r="R92" s="138"/>
      <c r="S92" s="138"/>
      <c r="T92" s="140" t="s">
        <v>1</v>
      </c>
      <c r="U92" s="520" t="s">
        <v>305</v>
      </c>
      <c r="V92" s="521"/>
      <c r="W92" s="521"/>
      <c r="X92" s="521"/>
      <c r="Y92" s="521"/>
      <c r="Z92" s="521"/>
      <c r="AA92" s="521"/>
      <c r="AB92" s="521"/>
      <c r="AC92" s="521"/>
      <c r="AD92" s="521"/>
      <c r="AE92" s="138"/>
      <c r="AF92" s="138"/>
      <c r="AG92" s="135"/>
      <c r="AH92" s="125"/>
      <c r="AI92" s="125"/>
      <c r="AJ92" s="125"/>
    </row>
    <row r="93" spans="1:36" s="124" customFormat="1" x14ac:dyDescent="0.2">
      <c r="A93" s="134"/>
      <c r="B93" s="16"/>
      <c r="C93" s="138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5"/>
      <c r="AH93" s="125"/>
      <c r="AI93" s="125"/>
      <c r="AJ93" s="125"/>
    </row>
    <row r="94" spans="1:36" s="124" customFormat="1" x14ac:dyDescent="0.2">
      <c r="A94" s="134"/>
      <c r="B94" s="16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5"/>
      <c r="AH94" s="125"/>
      <c r="AI94" s="125"/>
      <c r="AJ94" s="125"/>
    </row>
    <row r="95" spans="1:36" s="124" customFormat="1" x14ac:dyDescent="0.2">
      <c r="A95" s="134"/>
      <c r="B95" s="16"/>
      <c r="C95" s="138"/>
      <c r="D95" s="138"/>
      <c r="E95" s="138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5"/>
      <c r="AH95" s="125"/>
      <c r="AI95" s="125"/>
      <c r="AJ95" s="125"/>
    </row>
    <row r="96" spans="1:36" s="124" customFormat="1" x14ac:dyDescent="0.2">
      <c r="A96" s="134"/>
      <c r="B96" s="16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5"/>
      <c r="AH96" s="125"/>
      <c r="AI96" s="125"/>
      <c r="AJ96" s="125"/>
    </row>
    <row r="97" spans="1:36" s="124" customFormat="1" x14ac:dyDescent="0.2">
      <c r="A97" s="134"/>
      <c r="B97" s="16"/>
      <c r="C97" s="138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5"/>
      <c r="AH97" s="125"/>
      <c r="AI97" s="125"/>
      <c r="AJ97" s="125"/>
    </row>
    <row r="98" spans="1:36" s="124" customFormat="1" x14ac:dyDescent="0.2">
      <c r="A98" s="134"/>
      <c r="B98" s="16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5"/>
      <c r="AH98" s="125"/>
      <c r="AI98" s="125"/>
      <c r="AJ98" s="125"/>
    </row>
    <row r="99" spans="1:36" s="124" customFormat="1" x14ac:dyDescent="0.2">
      <c r="A99" s="134"/>
      <c r="B99" s="16" t="s">
        <v>127</v>
      </c>
      <c r="C99" s="138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5"/>
      <c r="AH99" s="125"/>
      <c r="AI99" s="125"/>
      <c r="AJ99" s="125"/>
    </row>
    <row r="100" spans="1:36" s="124" customFormat="1" x14ac:dyDescent="0.2">
      <c r="A100" s="134"/>
      <c r="B100" s="16" t="s">
        <v>128</v>
      </c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6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5"/>
      <c r="AH100" s="125"/>
      <c r="AI100" s="125"/>
      <c r="AJ100" s="125"/>
    </row>
    <row r="101" spans="1:36" s="124" customFormat="1" ht="12.75" x14ac:dyDescent="0.2">
      <c r="A101" s="134"/>
      <c r="B101" s="125"/>
      <c r="C101" s="138"/>
      <c r="D101" s="138"/>
      <c r="E101" s="138"/>
      <c r="F101" s="138"/>
      <c r="G101" s="138"/>
      <c r="H101" s="138"/>
      <c r="I101" s="138"/>
      <c r="J101" s="125"/>
      <c r="K101" s="138"/>
      <c r="L101" s="138"/>
      <c r="M101" s="513" t="s">
        <v>130</v>
      </c>
      <c r="N101" s="349"/>
      <c r="O101" s="349"/>
      <c r="P101" s="349"/>
      <c r="Q101" s="349"/>
      <c r="R101" s="513" t="s">
        <v>133</v>
      </c>
      <c r="S101" s="349"/>
      <c r="T101" s="349"/>
      <c r="U101" s="349"/>
      <c r="V101" s="349"/>
      <c r="W101" s="349"/>
      <c r="X101" s="349"/>
      <c r="Y101" s="349"/>
      <c r="Z101" s="349"/>
      <c r="AA101" s="403" t="s">
        <v>132</v>
      </c>
      <c r="AB101" s="441"/>
      <c r="AC101" s="441"/>
      <c r="AD101" s="441"/>
      <c r="AE101" s="441"/>
      <c r="AF101" s="441"/>
      <c r="AG101" s="135"/>
      <c r="AH101" s="125"/>
      <c r="AI101" s="125"/>
      <c r="AJ101" s="125"/>
    </row>
    <row r="102" spans="1:36" s="124" customFormat="1" ht="12.75" x14ac:dyDescent="0.2">
      <c r="A102" s="134"/>
      <c r="B102" s="514" t="s">
        <v>129</v>
      </c>
      <c r="C102" s="510"/>
      <c r="D102" s="510"/>
      <c r="E102" s="510"/>
      <c r="F102" s="510"/>
      <c r="G102" s="510"/>
      <c r="H102" s="510"/>
      <c r="I102" s="510"/>
      <c r="J102" s="510"/>
      <c r="K102" s="510"/>
      <c r="L102" s="511"/>
      <c r="M102" s="512">
        <f>(bf/2)/tf</f>
        <v>5.8522726004281349</v>
      </c>
      <c r="N102" s="340"/>
      <c r="O102" s="340"/>
      <c r="P102" s="340"/>
      <c r="Q102" s="340"/>
      <c r="R102" s="512">
        <f>0.56*SQRT(E/Fy)</f>
        <v>15.839191898578667</v>
      </c>
      <c r="S102" s="340"/>
      <c r="T102" s="340"/>
      <c r="U102" s="340"/>
      <c r="V102" s="340"/>
      <c r="W102" s="340"/>
      <c r="X102" s="340"/>
      <c r="Y102" s="340"/>
      <c r="Z102" s="340"/>
      <c r="AA102" s="403" t="str">
        <f>IF(M102&lt;=R102,"Non Slender","Slender")</f>
        <v>Non Slender</v>
      </c>
      <c r="AB102" s="441"/>
      <c r="AC102" s="441"/>
      <c r="AD102" s="441"/>
      <c r="AE102" s="441"/>
      <c r="AF102" s="441"/>
      <c r="AG102" s="135"/>
      <c r="AH102" s="125"/>
      <c r="AI102" s="125"/>
      <c r="AJ102" s="125"/>
    </row>
    <row r="103" spans="1:36" s="124" customFormat="1" ht="12.75" x14ac:dyDescent="0.2">
      <c r="A103" s="134"/>
      <c r="B103" s="509" t="s">
        <v>209</v>
      </c>
      <c r="C103" s="510"/>
      <c r="D103" s="510"/>
      <c r="E103" s="510"/>
      <c r="F103" s="510"/>
      <c r="G103" s="510"/>
      <c r="H103" s="510"/>
      <c r="I103" s="510"/>
      <c r="J103" s="510"/>
      <c r="K103" s="510"/>
      <c r="L103" s="511"/>
      <c r="M103" s="512">
        <f>(h-2*k)/tw</f>
        <v>10.760563471089799</v>
      </c>
      <c r="N103" s="340"/>
      <c r="O103" s="340"/>
      <c r="P103" s="340"/>
      <c r="Q103" s="340"/>
      <c r="R103" s="512">
        <f>1.49*SQRT(E/Fy)</f>
        <v>42.143564158718235</v>
      </c>
      <c r="S103" s="340"/>
      <c r="T103" s="340"/>
      <c r="U103" s="340"/>
      <c r="V103" s="340"/>
      <c r="W103" s="340"/>
      <c r="X103" s="340"/>
      <c r="Y103" s="340"/>
      <c r="Z103" s="340"/>
      <c r="AA103" s="403" t="str">
        <f>IF(M103&lt;=R103,"Non Slender","Slender")</f>
        <v>Non Slender</v>
      </c>
      <c r="AB103" s="441"/>
      <c r="AC103" s="441"/>
      <c r="AD103" s="441"/>
      <c r="AE103" s="441"/>
      <c r="AF103" s="441"/>
      <c r="AG103" s="135"/>
      <c r="AH103" s="125"/>
      <c r="AI103" s="125"/>
      <c r="AJ103" s="125"/>
    </row>
    <row r="104" spans="1:36" s="124" customFormat="1" ht="12.75" x14ac:dyDescent="0.2">
      <c r="A104" s="134"/>
      <c r="B104" s="138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3"/>
      <c r="N104" s="113"/>
      <c r="O104" s="113"/>
      <c r="P104" s="113"/>
      <c r="Q104" s="113"/>
      <c r="R104" s="163"/>
      <c r="S104" s="113"/>
      <c r="T104" s="113"/>
      <c r="U104" s="113"/>
      <c r="V104" s="113"/>
      <c r="W104" s="113"/>
      <c r="X104" s="113"/>
      <c r="Y104" s="113"/>
      <c r="Z104" s="113"/>
      <c r="AA104" s="161"/>
      <c r="AB104" s="114"/>
      <c r="AC104" s="114"/>
      <c r="AD104" s="114"/>
      <c r="AE104" s="114"/>
      <c r="AF104" s="114"/>
      <c r="AG104" s="135"/>
      <c r="AH104" s="125"/>
      <c r="AI104" s="125"/>
      <c r="AJ104" s="125"/>
    </row>
    <row r="105" spans="1:36" s="124" customFormat="1" ht="12.75" x14ac:dyDescent="0.2">
      <c r="A105" s="134"/>
      <c r="B105" s="138" t="s">
        <v>136</v>
      </c>
      <c r="C105" s="138"/>
      <c r="D105" s="138"/>
      <c r="E105" s="138"/>
      <c r="F105" s="138"/>
      <c r="G105" s="138"/>
      <c r="H105" s="138"/>
      <c r="I105" s="125"/>
      <c r="J105" s="138"/>
      <c r="K105" s="140" t="s">
        <v>1</v>
      </c>
      <c r="L105" s="138"/>
      <c r="M105" s="138" t="str">
        <f>IF(OR(AA102="Slender",AA103="Slender"),"Slender Element Section","Non Slender Element Section")</f>
        <v>Non Slender Element Section</v>
      </c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61"/>
      <c r="AB105" s="114"/>
      <c r="AC105" s="114"/>
      <c r="AD105" s="114"/>
      <c r="AE105" s="114"/>
      <c r="AF105" s="158" t="s">
        <v>137</v>
      </c>
      <c r="AG105" s="135"/>
      <c r="AH105" s="125"/>
      <c r="AI105" s="125"/>
      <c r="AJ105" s="125"/>
    </row>
    <row r="106" spans="1:36" s="124" customFormat="1" x14ac:dyDescent="0.2">
      <c r="A106" s="134"/>
      <c r="B106" s="138"/>
      <c r="C106" s="138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138"/>
      <c r="AC106" s="138"/>
      <c r="AD106" s="138"/>
      <c r="AE106" s="138"/>
      <c r="AF106" s="138"/>
      <c r="AG106" s="135"/>
      <c r="AH106" s="125"/>
      <c r="AI106" s="125"/>
      <c r="AJ106" s="125"/>
    </row>
    <row r="107" spans="1:36" s="124" customFormat="1" ht="12.75" x14ac:dyDescent="0.2">
      <c r="A107" s="134"/>
      <c r="B107" s="16" t="s">
        <v>346</v>
      </c>
      <c r="C107" s="138"/>
      <c r="D107" s="138"/>
      <c r="E107" s="138"/>
      <c r="F107" s="138"/>
      <c r="G107" s="138"/>
      <c r="H107" s="138"/>
      <c r="I107" s="138"/>
      <c r="J107" s="138"/>
      <c r="K107" s="138"/>
      <c r="L107" s="138"/>
      <c r="M107" s="513" t="s">
        <v>130</v>
      </c>
      <c r="N107" s="349"/>
      <c r="O107" s="349"/>
      <c r="P107" s="349"/>
      <c r="Q107" s="349"/>
      <c r="R107" s="513" t="s">
        <v>134</v>
      </c>
      <c r="S107" s="349"/>
      <c r="T107" s="349"/>
      <c r="U107" s="349"/>
      <c r="V107" s="349"/>
      <c r="W107" s="349"/>
      <c r="X107" s="349"/>
      <c r="Y107" s="349"/>
      <c r="Z107" s="349"/>
      <c r="AA107" s="516" t="s">
        <v>132</v>
      </c>
      <c r="AB107" s="517"/>
      <c r="AC107" s="517"/>
      <c r="AD107" s="517"/>
      <c r="AE107" s="517"/>
      <c r="AF107" s="518"/>
      <c r="AG107" s="135"/>
      <c r="AH107" s="125"/>
      <c r="AI107" s="125"/>
      <c r="AJ107" s="125"/>
    </row>
    <row r="108" spans="1:36" s="124" customFormat="1" ht="12.75" x14ac:dyDescent="0.2">
      <c r="A108" s="134"/>
      <c r="B108" s="125"/>
      <c r="C108" s="138"/>
      <c r="D108" s="138"/>
      <c r="E108" s="138"/>
      <c r="F108" s="138"/>
      <c r="G108" s="138"/>
      <c r="H108" s="138"/>
      <c r="I108" s="138"/>
      <c r="J108" s="125"/>
      <c r="K108" s="138"/>
      <c r="L108" s="138"/>
      <c r="M108" s="349"/>
      <c r="N108" s="349"/>
      <c r="O108" s="349"/>
      <c r="P108" s="349"/>
      <c r="Q108" s="349"/>
      <c r="R108" s="515" t="s">
        <v>131</v>
      </c>
      <c r="S108" s="349"/>
      <c r="T108" s="349"/>
      <c r="U108" s="349"/>
      <c r="V108" s="515" t="s">
        <v>135</v>
      </c>
      <c r="W108" s="349"/>
      <c r="X108" s="349"/>
      <c r="Y108" s="349"/>
      <c r="Z108" s="349"/>
      <c r="AA108" s="273"/>
      <c r="AB108" s="274"/>
      <c r="AC108" s="274"/>
      <c r="AD108" s="274"/>
      <c r="AE108" s="274"/>
      <c r="AF108" s="275"/>
      <c r="AG108" s="135"/>
      <c r="AH108" s="125"/>
      <c r="AI108" s="125"/>
      <c r="AJ108" s="125"/>
    </row>
    <row r="109" spans="1:36" s="124" customFormat="1" ht="12.75" x14ac:dyDescent="0.2">
      <c r="A109" s="134"/>
      <c r="B109" s="514" t="s">
        <v>129</v>
      </c>
      <c r="C109" s="510"/>
      <c r="D109" s="510"/>
      <c r="E109" s="510"/>
      <c r="F109" s="510"/>
      <c r="G109" s="510"/>
      <c r="H109" s="510"/>
      <c r="I109" s="510"/>
      <c r="J109" s="510"/>
      <c r="K109" s="510"/>
      <c r="L109" s="511"/>
      <c r="M109" s="512">
        <f>(bf/2)/tf</f>
        <v>5.8522726004281349</v>
      </c>
      <c r="N109" s="340"/>
      <c r="O109" s="340"/>
      <c r="P109" s="340"/>
      <c r="Q109" s="340"/>
      <c r="R109" s="519">
        <f>0.38*SQRT(E/Fy)</f>
        <v>10.748023074035522</v>
      </c>
      <c r="S109" s="340"/>
      <c r="T109" s="340"/>
      <c r="U109" s="340"/>
      <c r="V109" s="519">
        <f>1*SQRT(E/Fy)</f>
        <v>28.284271247461902</v>
      </c>
      <c r="W109" s="340"/>
      <c r="X109" s="340"/>
      <c r="Y109" s="340"/>
      <c r="Z109" s="340"/>
      <c r="AA109" s="403" t="str">
        <f>IF(M109&lt;=R109,"Compact",IF(M109&lt;=V109,"Non Compact","Slender"))</f>
        <v>Compact</v>
      </c>
      <c r="AB109" s="441"/>
      <c r="AC109" s="441"/>
      <c r="AD109" s="441"/>
      <c r="AE109" s="441"/>
      <c r="AF109" s="441"/>
      <c r="AG109" s="135"/>
      <c r="AH109" s="125"/>
      <c r="AI109" s="125"/>
      <c r="AJ109" s="125"/>
    </row>
    <row r="110" spans="1:36" s="124" customFormat="1" ht="12.75" x14ac:dyDescent="0.2">
      <c r="A110" s="134"/>
      <c r="B110" s="509" t="s">
        <v>209</v>
      </c>
      <c r="C110" s="510"/>
      <c r="D110" s="510"/>
      <c r="E110" s="510"/>
      <c r="F110" s="510"/>
      <c r="G110" s="510"/>
      <c r="H110" s="510"/>
      <c r="I110" s="510"/>
      <c r="J110" s="510"/>
      <c r="K110" s="510"/>
      <c r="L110" s="511"/>
      <c r="M110" s="512">
        <f>(h-2*k)/tw</f>
        <v>10.760563471089799</v>
      </c>
      <c r="N110" s="340"/>
      <c r="O110" s="340"/>
      <c r="P110" s="340"/>
      <c r="Q110" s="340"/>
      <c r="R110" s="519">
        <f>3.76*SQRT(E/Fy)</f>
        <v>106.34885989045675</v>
      </c>
      <c r="S110" s="340"/>
      <c r="T110" s="340"/>
      <c r="U110" s="340"/>
      <c r="V110" s="519">
        <f>5.7*SQRT(E/Fy)</f>
        <v>161.22034611053286</v>
      </c>
      <c r="W110" s="340"/>
      <c r="X110" s="340"/>
      <c r="Y110" s="340"/>
      <c r="Z110" s="340"/>
      <c r="AA110" s="403" t="str">
        <f>IF(M110&lt;=R110,"Compact",IF(M110&lt;=V110,"Non Compact","Slender"))</f>
        <v>Compact</v>
      </c>
      <c r="AB110" s="441"/>
      <c r="AC110" s="441"/>
      <c r="AD110" s="441"/>
      <c r="AE110" s="441"/>
      <c r="AF110" s="441"/>
      <c r="AG110" s="135"/>
      <c r="AH110" s="125"/>
      <c r="AI110" s="125"/>
      <c r="AJ110" s="125"/>
    </row>
    <row r="111" spans="1:36" s="124" customFormat="1" ht="12.75" x14ac:dyDescent="0.2">
      <c r="A111" s="134"/>
      <c r="B111" s="138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3"/>
      <c r="N111" s="113"/>
      <c r="O111" s="113"/>
      <c r="P111" s="113"/>
      <c r="Q111" s="113"/>
      <c r="R111" s="146"/>
      <c r="S111" s="113"/>
      <c r="T111" s="113"/>
      <c r="U111" s="113"/>
      <c r="V111" s="146"/>
      <c r="W111" s="113"/>
      <c r="X111" s="113"/>
      <c r="Y111" s="113"/>
      <c r="Z111" s="113"/>
      <c r="AA111" s="161"/>
      <c r="AB111" s="114"/>
      <c r="AC111" s="114"/>
      <c r="AD111" s="114"/>
      <c r="AE111" s="114"/>
      <c r="AF111" s="114"/>
      <c r="AG111" s="135"/>
      <c r="AH111" s="125"/>
      <c r="AI111" s="125"/>
      <c r="AJ111" s="125"/>
    </row>
    <row r="112" spans="1:36" s="124" customFormat="1" x14ac:dyDescent="0.2">
      <c r="A112" s="134"/>
      <c r="B112" s="138" t="s">
        <v>136</v>
      </c>
      <c r="C112" s="138"/>
      <c r="D112" s="138"/>
      <c r="E112" s="138"/>
      <c r="F112" s="138"/>
      <c r="G112" s="138"/>
      <c r="H112" s="138"/>
      <c r="I112" s="125"/>
      <c r="J112" s="138"/>
      <c r="K112" s="140" t="s">
        <v>1</v>
      </c>
      <c r="L112" s="138"/>
      <c r="M112" s="138" t="str">
        <f>IF(OR(AA109="Slender",AA110="Slender"),"Slender Element Section",IF(OR(AA109="Non Compact",AA110="Non Compact"),"Non Compact Section","Compact Section"))</f>
        <v>Compact Section</v>
      </c>
      <c r="N112" s="138"/>
      <c r="O112" s="138"/>
      <c r="P112" s="138"/>
      <c r="Q112" s="138"/>
      <c r="R112" s="138"/>
      <c r="S112" s="138"/>
      <c r="T112" s="138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58" t="s">
        <v>137</v>
      </c>
      <c r="AG112" s="135"/>
      <c r="AH112" s="125"/>
      <c r="AI112" s="125"/>
      <c r="AJ112" s="125"/>
    </row>
    <row r="113" spans="1:36" s="124" customFormat="1" x14ac:dyDescent="0.2">
      <c r="A113" s="134"/>
      <c r="B113" s="138"/>
      <c r="C113" s="138"/>
      <c r="D113" s="138"/>
      <c r="E113" s="138"/>
      <c r="F113" s="138"/>
      <c r="G113" s="138"/>
      <c r="H113" s="138"/>
      <c r="I113" s="138"/>
      <c r="J113" s="138"/>
      <c r="K113" s="138"/>
      <c r="L113" s="138"/>
      <c r="M113" s="138"/>
      <c r="N113" s="138"/>
      <c r="O113" s="138"/>
      <c r="P113" s="138"/>
      <c r="Q113" s="138"/>
      <c r="R113" s="138"/>
      <c r="S113" s="138"/>
      <c r="T113" s="138"/>
      <c r="U113" s="138"/>
      <c r="V113" s="138"/>
      <c r="W113" s="138"/>
      <c r="X113" s="138"/>
      <c r="Y113" s="138"/>
      <c r="Z113" s="138"/>
      <c r="AA113" s="138"/>
      <c r="AB113" s="138"/>
      <c r="AC113" s="138"/>
      <c r="AD113" s="138"/>
      <c r="AE113" s="138"/>
      <c r="AF113" s="138"/>
      <c r="AG113" s="135"/>
      <c r="AH113" s="125"/>
      <c r="AI113" s="125"/>
      <c r="AJ113" s="125"/>
    </row>
    <row r="114" spans="1:36" s="124" customFormat="1" x14ac:dyDescent="0.2">
      <c r="A114" s="134"/>
      <c r="B114" s="138"/>
      <c r="C114" s="138"/>
      <c r="D114" s="138"/>
      <c r="E114" s="138"/>
      <c r="F114" s="138"/>
      <c r="G114" s="138"/>
      <c r="H114" s="138"/>
      <c r="I114" s="138"/>
      <c r="J114" s="138"/>
      <c r="K114" s="138"/>
      <c r="L114" s="138"/>
      <c r="M114" s="138"/>
      <c r="N114" s="138"/>
      <c r="O114" s="138"/>
      <c r="P114" s="138"/>
      <c r="Q114" s="138"/>
      <c r="R114" s="138"/>
      <c r="S114" s="138"/>
      <c r="T114" s="138"/>
      <c r="U114" s="138"/>
      <c r="V114" s="138"/>
      <c r="W114" s="138"/>
      <c r="X114" s="138"/>
      <c r="Y114" s="138"/>
      <c r="Z114" s="138"/>
      <c r="AA114" s="138"/>
      <c r="AB114" s="138"/>
      <c r="AC114" s="138"/>
      <c r="AD114" s="138"/>
      <c r="AE114" s="138"/>
      <c r="AF114" s="138"/>
      <c r="AG114" s="135"/>
      <c r="AH114" s="125"/>
      <c r="AI114" s="125"/>
      <c r="AJ114" s="125"/>
    </row>
    <row r="115" spans="1:36" s="124" customFormat="1" x14ac:dyDescent="0.2">
      <c r="A115" s="134"/>
      <c r="B115" s="138"/>
      <c r="C115" s="138"/>
      <c r="D115" s="138"/>
      <c r="E115" s="138"/>
      <c r="F115" s="138"/>
      <c r="G115" s="138"/>
      <c r="H115" s="138"/>
      <c r="I115" s="138"/>
      <c r="J115" s="138"/>
      <c r="K115" s="138"/>
      <c r="L115" s="138"/>
      <c r="M115" s="138"/>
      <c r="N115" s="138"/>
      <c r="O115" s="138"/>
      <c r="P115" s="138"/>
      <c r="Q115" s="138"/>
      <c r="R115" s="138"/>
      <c r="S115" s="138"/>
      <c r="T115" s="138"/>
      <c r="U115" s="138"/>
      <c r="V115" s="138"/>
      <c r="W115" s="138"/>
      <c r="X115" s="138"/>
      <c r="Y115" s="138"/>
      <c r="Z115" s="138"/>
      <c r="AA115" s="138"/>
      <c r="AB115" s="138"/>
      <c r="AC115" s="138"/>
      <c r="AD115" s="138"/>
      <c r="AE115" s="138"/>
      <c r="AF115" s="138"/>
      <c r="AG115" s="135"/>
      <c r="AH115" s="125"/>
      <c r="AI115" s="125"/>
      <c r="AJ115" s="125"/>
    </row>
    <row r="116" spans="1:36" s="124" customFormat="1" x14ac:dyDescent="0.2">
      <c r="A116" s="134"/>
      <c r="B116" s="138"/>
      <c r="C116" s="138"/>
      <c r="D116" s="138"/>
      <c r="E116" s="138"/>
      <c r="F116" s="138"/>
      <c r="G116" s="138"/>
      <c r="H116" s="138"/>
      <c r="I116" s="138"/>
      <c r="J116" s="138"/>
      <c r="K116" s="138"/>
      <c r="L116" s="138"/>
      <c r="M116" s="138"/>
      <c r="N116" s="138"/>
      <c r="O116" s="138"/>
      <c r="P116" s="138"/>
      <c r="Q116" s="138"/>
      <c r="R116" s="138"/>
      <c r="S116" s="138"/>
      <c r="T116" s="138"/>
      <c r="U116" s="138"/>
      <c r="V116" s="138"/>
      <c r="W116" s="138"/>
      <c r="X116" s="138"/>
      <c r="Y116" s="138"/>
      <c r="Z116" s="138"/>
      <c r="AA116" s="138"/>
      <c r="AB116" s="138"/>
      <c r="AC116" s="138"/>
      <c r="AD116" s="138"/>
      <c r="AE116" s="138"/>
      <c r="AF116" s="138"/>
      <c r="AG116" s="135"/>
      <c r="AH116" s="125"/>
      <c r="AI116" s="125"/>
      <c r="AJ116" s="125"/>
    </row>
    <row r="117" spans="1:36" s="124" customFormat="1" x14ac:dyDescent="0.2">
      <c r="A117" s="134"/>
      <c r="B117" s="138"/>
      <c r="C117" s="138"/>
      <c r="D117" s="138"/>
      <c r="E117" s="138"/>
      <c r="F117" s="138"/>
      <c r="G117" s="138"/>
      <c r="H117" s="138"/>
      <c r="I117" s="138"/>
      <c r="J117" s="138"/>
      <c r="K117" s="138"/>
      <c r="L117" s="138"/>
      <c r="M117" s="138"/>
      <c r="N117" s="138"/>
      <c r="O117" s="138"/>
      <c r="P117" s="138"/>
      <c r="Q117" s="138"/>
      <c r="R117" s="138"/>
      <c r="S117" s="138"/>
      <c r="T117" s="138"/>
      <c r="U117" s="138"/>
      <c r="V117" s="138"/>
      <c r="W117" s="138"/>
      <c r="X117" s="138"/>
      <c r="Y117" s="138"/>
      <c r="Z117" s="138"/>
      <c r="AA117" s="138"/>
      <c r="AB117" s="138"/>
      <c r="AC117" s="138"/>
      <c r="AD117" s="138"/>
      <c r="AE117" s="138"/>
      <c r="AF117" s="138"/>
      <c r="AG117" s="135"/>
      <c r="AH117" s="125"/>
      <c r="AI117" s="125"/>
      <c r="AJ117" s="125"/>
    </row>
    <row r="118" spans="1:36" s="124" customFormat="1" x14ac:dyDescent="0.2">
      <c r="A118" s="134"/>
      <c r="B118" s="138"/>
      <c r="C118" s="138"/>
      <c r="D118" s="138"/>
      <c r="E118" s="138"/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  <c r="AA118" s="138"/>
      <c r="AB118" s="138"/>
      <c r="AC118" s="138"/>
      <c r="AD118" s="138"/>
      <c r="AE118" s="138"/>
      <c r="AF118" s="138"/>
      <c r="AG118" s="135"/>
      <c r="AH118" s="125"/>
      <c r="AI118" s="125"/>
      <c r="AJ118" s="125"/>
    </row>
    <row r="119" spans="1:36" s="124" customFormat="1" x14ac:dyDescent="0.2">
      <c r="A119" s="134"/>
      <c r="B119" s="138"/>
      <c r="C119" s="138"/>
      <c r="D119" s="138"/>
      <c r="E119" s="138"/>
      <c r="F119" s="138"/>
      <c r="G119" s="138"/>
      <c r="H119" s="138"/>
      <c r="I119" s="138"/>
      <c r="J119" s="138"/>
      <c r="K119" s="138"/>
      <c r="L119" s="138"/>
      <c r="M119" s="138"/>
      <c r="N119" s="138"/>
      <c r="O119" s="138"/>
      <c r="P119" s="138"/>
      <c r="Q119" s="138"/>
      <c r="R119" s="138"/>
      <c r="S119" s="138"/>
      <c r="T119" s="138"/>
      <c r="U119" s="138"/>
      <c r="V119" s="138"/>
      <c r="W119" s="138"/>
      <c r="X119" s="138"/>
      <c r="Y119" s="138"/>
      <c r="Z119" s="138"/>
      <c r="AA119" s="138"/>
      <c r="AB119" s="138"/>
      <c r="AC119" s="138"/>
      <c r="AD119" s="138"/>
      <c r="AE119" s="138"/>
      <c r="AF119" s="138"/>
      <c r="AG119" s="135"/>
      <c r="AH119" s="125"/>
      <c r="AI119" s="125"/>
      <c r="AJ119" s="125"/>
    </row>
    <row r="120" spans="1:36" s="124" customFormat="1" x14ac:dyDescent="0.2">
      <c r="A120" s="134"/>
      <c r="B120" s="138"/>
      <c r="C120" s="138"/>
      <c r="D120" s="138"/>
      <c r="E120" s="138"/>
      <c r="F120" s="138"/>
      <c r="G120" s="138"/>
      <c r="H120" s="138"/>
      <c r="I120" s="138"/>
      <c r="J120" s="138"/>
      <c r="K120" s="138"/>
      <c r="L120" s="138"/>
      <c r="M120" s="138"/>
      <c r="N120" s="138"/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E120" s="138"/>
      <c r="AF120" s="138"/>
      <c r="AG120" s="135"/>
      <c r="AH120" s="125"/>
      <c r="AI120" s="125"/>
      <c r="AJ120" s="125"/>
    </row>
    <row r="121" spans="1:36" s="124" customFormat="1" x14ac:dyDescent="0.2">
      <c r="A121" s="134"/>
      <c r="B121" s="138"/>
      <c r="C121" s="138"/>
      <c r="D121" s="138"/>
      <c r="E121" s="138"/>
      <c r="F121" s="138"/>
      <c r="G121" s="138"/>
      <c r="H121" s="138"/>
      <c r="I121" s="138"/>
      <c r="J121" s="138"/>
      <c r="K121" s="138"/>
      <c r="L121" s="138"/>
      <c r="M121" s="138"/>
      <c r="N121" s="138"/>
      <c r="O121" s="138"/>
      <c r="P121" s="138"/>
      <c r="Q121" s="138"/>
      <c r="R121" s="138"/>
      <c r="S121" s="138"/>
      <c r="T121" s="138"/>
      <c r="U121" s="138"/>
      <c r="V121" s="138"/>
      <c r="W121" s="138"/>
      <c r="X121" s="138"/>
      <c r="Y121" s="138"/>
      <c r="Z121" s="138"/>
      <c r="AA121" s="138"/>
      <c r="AB121" s="138"/>
      <c r="AC121" s="138"/>
      <c r="AD121" s="138"/>
      <c r="AE121" s="138"/>
      <c r="AF121" s="138"/>
      <c r="AG121" s="135"/>
      <c r="AH121" s="125"/>
      <c r="AI121" s="125"/>
      <c r="AJ121" s="125"/>
    </row>
    <row r="122" spans="1:36" s="124" customFormat="1" x14ac:dyDescent="0.2">
      <c r="A122" s="134"/>
      <c r="B122" s="138"/>
      <c r="C122" s="138"/>
      <c r="D122" s="138"/>
      <c r="E122" s="138"/>
      <c r="F122" s="138"/>
      <c r="G122" s="138"/>
      <c r="H122" s="138"/>
      <c r="I122" s="138"/>
      <c r="J122" s="138"/>
      <c r="K122" s="138"/>
      <c r="L122" s="138"/>
      <c r="M122" s="138"/>
      <c r="N122" s="138"/>
      <c r="O122" s="138"/>
      <c r="P122" s="138"/>
      <c r="Q122" s="138"/>
      <c r="R122" s="138"/>
      <c r="S122" s="138"/>
      <c r="T122" s="138"/>
      <c r="U122" s="138"/>
      <c r="V122" s="138"/>
      <c r="W122" s="138"/>
      <c r="X122" s="138"/>
      <c r="Y122" s="138"/>
      <c r="Z122" s="138"/>
      <c r="AA122" s="138"/>
      <c r="AB122" s="138"/>
      <c r="AC122" s="138"/>
      <c r="AD122" s="138"/>
      <c r="AE122" s="138"/>
      <c r="AF122" s="138"/>
      <c r="AG122" s="135"/>
      <c r="AH122" s="125"/>
      <c r="AI122" s="125"/>
      <c r="AJ122" s="125"/>
    </row>
    <row r="123" spans="1:36" s="124" customFormat="1" x14ac:dyDescent="0.2">
      <c r="A123" s="134"/>
      <c r="B123" s="138"/>
      <c r="C123" s="138"/>
      <c r="D123" s="138"/>
      <c r="E123" s="138"/>
      <c r="F123" s="138"/>
      <c r="G123" s="138"/>
      <c r="H123" s="138"/>
      <c r="I123" s="138"/>
      <c r="J123" s="138"/>
      <c r="K123" s="138"/>
      <c r="L123" s="138"/>
      <c r="M123" s="138"/>
      <c r="N123" s="138"/>
      <c r="O123" s="138"/>
      <c r="P123" s="138"/>
      <c r="Q123" s="138"/>
      <c r="R123" s="138"/>
      <c r="S123" s="138"/>
      <c r="T123" s="138"/>
      <c r="U123" s="138"/>
      <c r="V123" s="138"/>
      <c r="W123" s="138"/>
      <c r="X123" s="138"/>
      <c r="Y123" s="138"/>
      <c r="Z123" s="138"/>
      <c r="AA123" s="138"/>
      <c r="AB123" s="138"/>
      <c r="AC123" s="138"/>
      <c r="AD123" s="138"/>
      <c r="AE123" s="138"/>
      <c r="AF123" s="138"/>
      <c r="AG123" s="135"/>
      <c r="AH123" s="125"/>
      <c r="AI123" s="125"/>
      <c r="AJ123" s="125"/>
    </row>
    <row r="124" spans="1:36" s="124" customFormat="1" x14ac:dyDescent="0.2">
      <c r="A124" s="134"/>
      <c r="B124" s="138"/>
      <c r="C124" s="138"/>
      <c r="D124" s="138"/>
      <c r="E124" s="138"/>
      <c r="F124" s="138"/>
      <c r="G124" s="138"/>
      <c r="H124" s="138"/>
      <c r="I124" s="138"/>
      <c r="J124" s="138"/>
      <c r="K124" s="138"/>
      <c r="L124" s="138"/>
      <c r="M124" s="138"/>
      <c r="N124" s="138"/>
      <c r="O124" s="138"/>
      <c r="P124" s="138"/>
      <c r="Q124" s="138"/>
      <c r="R124" s="138"/>
      <c r="S124" s="138"/>
      <c r="T124" s="138"/>
      <c r="U124" s="138"/>
      <c r="V124" s="138"/>
      <c r="W124" s="138"/>
      <c r="X124" s="138"/>
      <c r="Y124" s="138"/>
      <c r="Z124" s="138"/>
      <c r="AA124" s="138"/>
      <c r="AB124" s="138"/>
      <c r="AC124" s="138"/>
      <c r="AD124" s="138"/>
      <c r="AE124" s="138"/>
      <c r="AF124" s="138"/>
      <c r="AG124" s="135"/>
      <c r="AH124" s="125"/>
      <c r="AI124" s="125"/>
      <c r="AJ124" s="125"/>
    </row>
    <row r="125" spans="1:36" s="124" customFormat="1" x14ac:dyDescent="0.2">
      <c r="A125" s="134"/>
      <c r="B125" s="138"/>
      <c r="C125" s="138"/>
      <c r="D125" s="138"/>
      <c r="E125" s="138"/>
      <c r="F125" s="138"/>
      <c r="G125" s="138"/>
      <c r="H125" s="138"/>
      <c r="I125" s="138"/>
      <c r="J125" s="138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38"/>
      <c r="Y125" s="138"/>
      <c r="Z125" s="138"/>
      <c r="AA125" s="138"/>
      <c r="AB125" s="138"/>
      <c r="AC125" s="138"/>
      <c r="AD125" s="138"/>
      <c r="AE125" s="138"/>
      <c r="AF125" s="138"/>
      <c r="AG125" s="135"/>
      <c r="AH125" s="125"/>
      <c r="AI125" s="125"/>
      <c r="AJ125" s="125"/>
    </row>
    <row r="126" spans="1:36" s="124" customFormat="1" x14ac:dyDescent="0.2">
      <c r="A126" s="147"/>
      <c r="B126" s="17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49"/>
      <c r="AH126" s="125"/>
      <c r="AI126" s="125"/>
      <c r="AJ126" s="125"/>
    </row>
    <row r="127" spans="1:36" s="124" customFormat="1" x14ac:dyDescent="0.2">
      <c r="A127" s="176"/>
      <c r="B127" s="177"/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50"/>
      <c r="AH127" s="125"/>
      <c r="AI127" s="125"/>
      <c r="AJ127" s="125"/>
    </row>
    <row r="128" spans="1:36" s="74" customFormat="1" x14ac:dyDescent="0.2">
      <c r="A128" s="71"/>
      <c r="B128" s="35" t="s">
        <v>104</v>
      </c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2"/>
      <c r="AH128" s="73"/>
      <c r="AI128" s="73"/>
      <c r="AJ128" s="73"/>
    </row>
    <row r="129" spans="1:36" s="74" customFormat="1" ht="12.75" x14ac:dyDescent="0.2">
      <c r="A129" s="71"/>
      <c r="B129" s="35" t="s">
        <v>105</v>
      </c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8"/>
      <c r="Y129" s="116"/>
      <c r="Z129" s="117"/>
      <c r="AA129" s="117"/>
      <c r="AB129" s="76"/>
      <c r="AC129" s="76"/>
      <c r="AD129" s="76"/>
      <c r="AE129" s="76"/>
      <c r="AF129" s="76"/>
      <c r="AG129" s="72"/>
      <c r="AH129" s="73"/>
      <c r="AI129" s="73"/>
      <c r="AJ129" s="73"/>
    </row>
    <row r="130" spans="1:36" s="74" customFormat="1" ht="12" x14ac:dyDescent="0.2">
      <c r="A130" s="71"/>
      <c r="B130" s="125" t="s">
        <v>106</v>
      </c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7"/>
      <c r="P130" s="66"/>
      <c r="Q130" s="66"/>
      <c r="R130" s="125" t="s">
        <v>107</v>
      </c>
      <c r="S130" s="66"/>
      <c r="T130" s="66"/>
      <c r="U130" s="67" t="s">
        <v>14</v>
      </c>
      <c r="V130" s="126" t="s">
        <v>108</v>
      </c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72"/>
      <c r="AH130" s="73"/>
      <c r="AI130" s="73"/>
      <c r="AJ130" s="73"/>
    </row>
    <row r="131" spans="1:36" s="74" customFormat="1" x14ac:dyDescent="0.2">
      <c r="A131" s="71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7" t="s">
        <v>14</v>
      </c>
      <c r="V131" s="412">
        <f>(Fy*Ag)/1000</f>
        <v>617.83567315211735</v>
      </c>
      <c r="W131" s="413"/>
      <c r="X131" s="413"/>
      <c r="Y131" s="413"/>
      <c r="Z131" s="64"/>
      <c r="AA131" s="64"/>
      <c r="AB131" s="64"/>
      <c r="AC131" s="64"/>
      <c r="AD131" s="64"/>
      <c r="AE131" s="64"/>
      <c r="AF131" s="64"/>
      <c r="AG131" s="72"/>
      <c r="AH131" s="73"/>
      <c r="AI131" s="73"/>
      <c r="AJ131" s="73"/>
    </row>
    <row r="132" spans="1:36" s="74" customFormat="1" x14ac:dyDescent="0.2">
      <c r="A132" s="71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72"/>
      <c r="AH132" s="73"/>
      <c r="AI132" s="73"/>
      <c r="AJ132" s="73"/>
    </row>
    <row r="133" spans="1:36" s="74" customFormat="1" ht="12.75" x14ac:dyDescent="0.2">
      <c r="A133" s="71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9"/>
      <c r="O133" s="70"/>
      <c r="P133" s="70"/>
      <c r="Q133" s="400" t="s">
        <v>16</v>
      </c>
      <c r="R133" s="401"/>
      <c r="S133" s="401"/>
      <c r="T133" s="401"/>
      <c r="U133" s="401"/>
      <c r="V133" s="401"/>
      <c r="W133" s="401"/>
      <c r="X133" s="402" t="s">
        <v>17</v>
      </c>
      <c r="Y133" s="401"/>
      <c r="Z133" s="401"/>
      <c r="AA133" s="401"/>
      <c r="AB133" s="401"/>
      <c r="AC133" s="401"/>
      <c r="AD133" s="401"/>
      <c r="AE133" s="401"/>
      <c r="AF133" s="401"/>
      <c r="AG133" s="72"/>
      <c r="AH133" s="73"/>
      <c r="AI133" s="73"/>
      <c r="AJ133" s="73"/>
    </row>
    <row r="134" spans="1:36" s="74" customFormat="1" ht="12.75" x14ac:dyDescent="0.2">
      <c r="A134" s="71"/>
      <c r="B134" s="403" t="s">
        <v>175</v>
      </c>
      <c r="C134" s="404"/>
      <c r="D134" s="404"/>
      <c r="E134" s="404"/>
      <c r="F134" s="404"/>
      <c r="G134" s="404"/>
      <c r="H134" s="404"/>
      <c r="I134" s="404"/>
      <c r="J134" s="404"/>
      <c r="K134" s="404"/>
      <c r="L134" s="404"/>
      <c r="M134" s="404"/>
      <c r="N134" s="404"/>
      <c r="O134" s="404"/>
      <c r="P134" s="404"/>
      <c r="Q134" s="405">
        <v>1.67</v>
      </c>
      <c r="R134" s="406"/>
      <c r="S134" s="406"/>
      <c r="T134" s="406"/>
      <c r="U134" s="406"/>
      <c r="V134" s="406"/>
      <c r="W134" s="406"/>
      <c r="X134" s="405">
        <v>0.9</v>
      </c>
      <c r="Y134" s="406"/>
      <c r="Z134" s="406"/>
      <c r="AA134" s="406"/>
      <c r="AB134" s="406"/>
      <c r="AC134" s="406"/>
      <c r="AD134" s="406"/>
      <c r="AE134" s="406"/>
      <c r="AF134" s="406"/>
      <c r="AG134" s="72"/>
      <c r="AH134" s="73"/>
      <c r="AI134" s="73"/>
      <c r="AJ134" s="73"/>
    </row>
    <row r="135" spans="1:36" s="74" customFormat="1" ht="12.75" x14ac:dyDescent="0.2">
      <c r="A135" s="71"/>
      <c r="B135" s="478" t="s">
        <v>50</v>
      </c>
      <c r="C135" s="404"/>
      <c r="D135" s="404"/>
      <c r="E135" s="404"/>
      <c r="F135" s="404"/>
      <c r="G135" s="404"/>
      <c r="H135" s="404"/>
      <c r="I135" s="404"/>
      <c r="J135" s="404"/>
      <c r="K135" s="404"/>
      <c r="L135" s="404"/>
      <c r="M135" s="404"/>
      <c r="N135" s="404"/>
      <c r="O135" s="404"/>
      <c r="P135" s="404"/>
      <c r="Q135" s="408">
        <f>V131/Q134</f>
        <v>369.96148092941161</v>
      </c>
      <c r="R135" s="409"/>
      <c r="S135" s="409"/>
      <c r="T135" s="409"/>
      <c r="U135" s="409"/>
      <c r="V135" s="409"/>
      <c r="W135" s="409"/>
      <c r="X135" s="408">
        <f>X134*V131</f>
        <v>556.05210583690564</v>
      </c>
      <c r="Y135" s="409"/>
      <c r="Z135" s="409"/>
      <c r="AA135" s="409"/>
      <c r="AB135" s="409"/>
      <c r="AC135" s="409"/>
      <c r="AD135" s="409"/>
      <c r="AE135" s="409"/>
      <c r="AF135" s="409"/>
      <c r="AG135" s="72"/>
      <c r="AH135" s="73"/>
      <c r="AI135" s="73"/>
      <c r="AJ135" s="73"/>
    </row>
    <row r="136" spans="1:36" s="74" customFormat="1" ht="12.75" x14ac:dyDescent="0.15">
      <c r="A136" s="71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118"/>
      <c r="M136" s="118"/>
      <c r="N136" s="118"/>
      <c r="O136" s="118"/>
      <c r="P136" s="118"/>
      <c r="Q136" s="118"/>
      <c r="R136" s="118"/>
      <c r="S136" s="118"/>
      <c r="T136" s="68"/>
      <c r="U136" s="119"/>
      <c r="V136" s="119"/>
      <c r="W136" s="68"/>
      <c r="X136" s="119"/>
      <c r="Y136" s="119"/>
      <c r="Z136" s="68"/>
      <c r="AA136" s="119"/>
      <c r="AB136" s="119"/>
      <c r="AC136" s="119"/>
      <c r="AD136" s="68"/>
      <c r="AE136" s="119"/>
      <c r="AF136" s="119"/>
      <c r="AG136" s="72"/>
      <c r="AH136" s="73"/>
      <c r="AI136" s="73"/>
      <c r="AJ136" s="73"/>
    </row>
    <row r="137" spans="1:36" s="74" customFormat="1" ht="12.75" x14ac:dyDescent="0.15">
      <c r="A137" s="71"/>
      <c r="B137" s="35" t="s">
        <v>110</v>
      </c>
      <c r="C137" s="118"/>
      <c r="D137" s="118"/>
      <c r="E137" s="118"/>
      <c r="F137" s="118"/>
      <c r="G137" s="118"/>
      <c r="H137" s="118"/>
      <c r="I137" s="118"/>
      <c r="J137" s="118"/>
      <c r="K137" s="65"/>
      <c r="L137" s="118"/>
      <c r="M137" s="118"/>
      <c r="N137" s="118"/>
      <c r="O137" s="118"/>
      <c r="P137" s="118"/>
      <c r="Q137" s="118"/>
      <c r="R137" s="118"/>
      <c r="S137" s="118"/>
      <c r="T137" s="68"/>
      <c r="U137" s="119"/>
      <c r="V137" s="119"/>
      <c r="W137" s="68"/>
      <c r="X137" s="119"/>
      <c r="Y137" s="119"/>
      <c r="Z137" s="68"/>
      <c r="AA137" s="119"/>
      <c r="AB137" s="119"/>
      <c r="AC137" s="119"/>
      <c r="AD137" s="68"/>
      <c r="AE137" s="119"/>
      <c r="AF137" s="119"/>
      <c r="AG137" s="72"/>
      <c r="AH137" s="73"/>
      <c r="AI137" s="73"/>
      <c r="AJ137" s="73"/>
    </row>
    <row r="138" spans="1:36" s="74" customFormat="1" ht="12" x14ac:dyDescent="0.2">
      <c r="A138" s="71"/>
      <c r="B138" s="125" t="s">
        <v>106</v>
      </c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7"/>
      <c r="P138" s="66"/>
      <c r="Q138" s="66"/>
      <c r="R138" s="125" t="s">
        <v>107</v>
      </c>
      <c r="S138" s="66"/>
      <c r="T138" s="66"/>
      <c r="U138" s="67" t="s">
        <v>14</v>
      </c>
      <c r="V138" s="126" t="s">
        <v>111</v>
      </c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72"/>
      <c r="AH138" s="73"/>
      <c r="AI138" s="73"/>
      <c r="AJ138" s="73"/>
    </row>
    <row r="139" spans="1:36" s="74" customFormat="1" x14ac:dyDescent="0.2">
      <c r="A139" s="71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7" t="s">
        <v>14</v>
      </c>
      <c r="V139" s="412">
        <f>(Fu*(V140*X65*I9))/1000</f>
        <v>800.71503240514426</v>
      </c>
      <c r="W139" s="413"/>
      <c r="X139" s="413"/>
      <c r="Y139" s="413"/>
      <c r="Z139" s="64"/>
      <c r="AA139" s="64"/>
      <c r="AB139" s="64"/>
      <c r="AC139" s="64"/>
      <c r="AD139" s="64"/>
      <c r="AE139" s="64"/>
      <c r="AF139" s="64"/>
      <c r="AG139" s="72"/>
      <c r="AH139" s="73"/>
      <c r="AI139" s="73"/>
      <c r="AJ139" s="73"/>
    </row>
    <row r="140" spans="1:36" s="74" customFormat="1" x14ac:dyDescent="0.2">
      <c r="A140" s="71"/>
      <c r="B140" s="128" t="s">
        <v>112</v>
      </c>
      <c r="C140" s="64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125" t="s">
        <v>113</v>
      </c>
      <c r="S140" s="64"/>
      <c r="T140" s="64"/>
      <c r="U140" s="67" t="s">
        <v>14</v>
      </c>
      <c r="V140" s="414">
        <f>IF(I11&gt;=(2/3*I10),0.9,0.85)</f>
        <v>0.9</v>
      </c>
      <c r="W140" s="415"/>
      <c r="X140" s="415"/>
      <c r="Y140" s="415"/>
      <c r="Z140" s="64"/>
      <c r="AA140" s="64"/>
      <c r="AB140" s="64"/>
      <c r="AC140" s="64"/>
      <c r="AD140" s="64"/>
      <c r="AE140" s="64"/>
      <c r="AF140" s="64"/>
      <c r="AG140" s="72"/>
      <c r="AH140" s="73"/>
      <c r="AI140" s="73"/>
      <c r="AJ140" s="73"/>
    </row>
    <row r="141" spans="1:36" s="74" customFormat="1" x14ac:dyDescent="0.2">
      <c r="A141" s="71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72"/>
      <c r="AH141" s="73"/>
      <c r="AI141" s="73"/>
      <c r="AJ141" s="73"/>
    </row>
    <row r="142" spans="1:36" s="74" customFormat="1" ht="12.75" x14ac:dyDescent="0.2">
      <c r="A142" s="71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9"/>
      <c r="O142" s="70"/>
      <c r="P142" s="70"/>
      <c r="Q142" s="400" t="s">
        <v>16</v>
      </c>
      <c r="R142" s="401"/>
      <c r="S142" s="401"/>
      <c r="T142" s="401"/>
      <c r="U142" s="401"/>
      <c r="V142" s="401"/>
      <c r="W142" s="401"/>
      <c r="X142" s="402" t="s">
        <v>17</v>
      </c>
      <c r="Y142" s="401"/>
      <c r="Z142" s="401"/>
      <c r="AA142" s="401"/>
      <c r="AB142" s="401"/>
      <c r="AC142" s="401"/>
      <c r="AD142" s="401"/>
      <c r="AE142" s="401"/>
      <c r="AF142" s="401"/>
      <c r="AG142" s="72"/>
      <c r="AH142" s="73"/>
      <c r="AI142" s="73"/>
      <c r="AJ142" s="73"/>
    </row>
    <row r="143" spans="1:36" s="74" customFormat="1" ht="12.75" x14ac:dyDescent="0.2">
      <c r="A143" s="71"/>
      <c r="B143" s="403" t="s">
        <v>175</v>
      </c>
      <c r="C143" s="404"/>
      <c r="D143" s="404"/>
      <c r="E143" s="404"/>
      <c r="F143" s="404"/>
      <c r="G143" s="404"/>
      <c r="H143" s="404"/>
      <c r="I143" s="404"/>
      <c r="J143" s="404"/>
      <c r="K143" s="404"/>
      <c r="L143" s="404"/>
      <c r="M143" s="404"/>
      <c r="N143" s="404"/>
      <c r="O143" s="404"/>
      <c r="P143" s="404"/>
      <c r="Q143" s="405">
        <v>2</v>
      </c>
      <c r="R143" s="406"/>
      <c r="S143" s="406"/>
      <c r="T143" s="406"/>
      <c r="U143" s="406"/>
      <c r="V143" s="406"/>
      <c r="W143" s="406"/>
      <c r="X143" s="405">
        <v>0.75</v>
      </c>
      <c r="Y143" s="406"/>
      <c r="Z143" s="406"/>
      <c r="AA143" s="406"/>
      <c r="AB143" s="406"/>
      <c r="AC143" s="406"/>
      <c r="AD143" s="406"/>
      <c r="AE143" s="406"/>
      <c r="AF143" s="406"/>
      <c r="AG143" s="72"/>
      <c r="AH143" s="73"/>
      <c r="AI143" s="73"/>
      <c r="AJ143" s="73"/>
    </row>
    <row r="144" spans="1:36" s="74" customFormat="1" ht="12.75" x14ac:dyDescent="0.2">
      <c r="A144" s="71"/>
      <c r="B144" s="478" t="s">
        <v>50</v>
      </c>
      <c r="C144" s="404"/>
      <c r="D144" s="404"/>
      <c r="E144" s="404"/>
      <c r="F144" s="404"/>
      <c r="G144" s="404"/>
      <c r="H144" s="404"/>
      <c r="I144" s="404"/>
      <c r="J144" s="404"/>
      <c r="K144" s="404"/>
      <c r="L144" s="404"/>
      <c r="M144" s="404"/>
      <c r="N144" s="404"/>
      <c r="O144" s="404"/>
      <c r="P144" s="404"/>
      <c r="Q144" s="408">
        <f>V139/Q143</f>
        <v>400.35751620257213</v>
      </c>
      <c r="R144" s="409"/>
      <c r="S144" s="409"/>
      <c r="T144" s="409"/>
      <c r="U144" s="409"/>
      <c r="V144" s="409"/>
      <c r="W144" s="409"/>
      <c r="X144" s="408">
        <f>X143*V139</f>
        <v>600.53627430385814</v>
      </c>
      <c r="Y144" s="409"/>
      <c r="Z144" s="409"/>
      <c r="AA144" s="409"/>
      <c r="AB144" s="409"/>
      <c r="AC144" s="409"/>
      <c r="AD144" s="409"/>
      <c r="AE144" s="409"/>
      <c r="AF144" s="409"/>
      <c r="AG144" s="72"/>
      <c r="AH144" s="73"/>
      <c r="AI144" s="73"/>
      <c r="AJ144" s="73"/>
    </row>
    <row r="145" spans="1:36" s="74" customFormat="1" ht="12.75" x14ac:dyDescent="0.2">
      <c r="A145" s="71"/>
      <c r="B145" s="120"/>
      <c r="C145" s="120"/>
      <c r="D145" s="120"/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120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72"/>
      <c r="AH145" s="73"/>
      <c r="AI145" s="73"/>
      <c r="AJ145" s="73"/>
    </row>
    <row r="146" spans="1:36" s="74" customFormat="1" ht="12.75" x14ac:dyDescent="0.2">
      <c r="A146" s="71"/>
      <c r="B146" s="35" t="s">
        <v>114</v>
      </c>
      <c r="C146" s="119"/>
      <c r="D146" s="119"/>
      <c r="E146" s="119"/>
      <c r="F146" s="119"/>
      <c r="G146" s="119"/>
      <c r="H146" s="119"/>
      <c r="I146" s="119"/>
      <c r="J146" s="119"/>
      <c r="K146" s="119"/>
      <c r="L146" s="122"/>
      <c r="M146" s="123"/>
      <c r="N146" s="123"/>
      <c r="O146" s="123"/>
      <c r="P146" s="121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  <c r="AA146" s="119"/>
      <c r="AB146" s="119"/>
      <c r="AC146" s="119"/>
      <c r="AD146" s="119"/>
      <c r="AE146" s="119"/>
      <c r="AF146" s="119"/>
      <c r="AG146" s="72"/>
      <c r="AH146" s="73"/>
      <c r="AI146" s="73"/>
      <c r="AJ146" s="73"/>
    </row>
    <row r="147" spans="1:36" s="124" customFormat="1" ht="12.75" x14ac:dyDescent="0.2">
      <c r="A147" s="134"/>
      <c r="B147" s="128" t="s">
        <v>146</v>
      </c>
      <c r="C147" s="167"/>
      <c r="D147" s="167"/>
      <c r="E147" s="167"/>
      <c r="F147" s="167"/>
      <c r="G147" s="167"/>
      <c r="H147" s="167"/>
      <c r="I147" s="167"/>
      <c r="J147" s="167"/>
      <c r="K147" s="167"/>
      <c r="L147" s="142"/>
      <c r="M147" s="168"/>
      <c r="N147" s="168"/>
      <c r="O147" s="168"/>
      <c r="P147" s="138"/>
      <c r="Q147" s="167"/>
      <c r="R147" s="125" t="s">
        <v>147</v>
      </c>
      <c r="S147" s="167"/>
      <c r="T147" s="167"/>
      <c r="U147" s="67" t="s">
        <v>14</v>
      </c>
      <c r="V147" s="414">
        <f>IF(M102&lt;=0.56*SQRT(E/Fy),1,IF(M102&lt;1.03*SQRT(E/Fy),1.415-0.74*M102*SQRT(Fy/E),0.69*E/(Fy*M102^2)))</f>
        <v>1</v>
      </c>
      <c r="W147" s="415"/>
      <c r="X147" s="415"/>
      <c r="Y147" s="415"/>
      <c r="Z147" s="167"/>
      <c r="AA147" s="167"/>
      <c r="AB147" s="167"/>
      <c r="AC147" s="167"/>
      <c r="AD147" s="167"/>
      <c r="AE147" s="167"/>
      <c r="AF147" s="167"/>
      <c r="AG147" s="135"/>
      <c r="AH147" s="125"/>
      <c r="AI147" s="125"/>
      <c r="AJ147" s="125"/>
    </row>
    <row r="148" spans="1:36" s="124" customFormat="1" ht="12.75" x14ac:dyDescent="0.2">
      <c r="A148" s="134"/>
      <c r="B148" s="128" t="s">
        <v>152</v>
      </c>
      <c r="C148" s="167"/>
      <c r="D148" s="167"/>
      <c r="E148" s="167"/>
      <c r="F148" s="167"/>
      <c r="G148" s="167"/>
      <c r="H148" s="167"/>
      <c r="I148" s="167"/>
      <c r="J148" s="167"/>
      <c r="K148" s="167"/>
      <c r="L148" s="142"/>
      <c r="M148" s="168"/>
      <c r="N148" s="168"/>
      <c r="O148" s="168"/>
      <c r="P148" s="138"/>
      <c r="Q148" s="167"/>
      <c r="R148" s="125" t="s">
        <v>87</v>
      </c>
      <c r="S148" s="167"/>
      <c r="T148" s="167"/>
      <c r="U148" s="67" t="s">
        <v>14</v>
      </c>
      <c r="V148" s="416">
        <f>(h-2*k)</f>
        <v>76.399999618530273</v>
      </c>
      <c r="W148" s="417"/>
      <c r="X148" s="417"/>
      <c r="Y148" s="417"/>
      <c r="Z148" s="167"/>
      <c r="AA148" s="167"/>
      <c r="AB148" s="167"/>
      <c r="AC148" s="167"/>
      <c r="AD148" s="167"/>
      <c r="AE148" s="167"/>
      <c r="AF148" s="167"/>
      <c r="AG148" s="135"/>
      <c r="AH148" s="125"/>
      <c r="AI148" s="125"/>
      <c r="AJ148" s="125"/>
    </row>
    <row r="149" spans="1:36" s="74" customFormat="1" ht="12.75" x14ac:dyDescent="0.2">
      <c r="A149" s="71"/>
      <c r="B149" s="35" t="str">
        <f>"2.1) Flexural Buckling "&amp;IF(M105="Slender Element Section","with","without")&amp;" Slender Elements:"</f>
        <v>2.1) Flexural Buckling without Slender Elements:</v>
      </c>
      <c r="C149" s="119"/>
      <c r="D149" s="119"/>
      <c r="E149" s="119"/>
      <c r="F149" s="119"/>
      <c r="G149" s="119"/>
      <c r="H149" s="119"/>
      <c r="I149" s="119"/>
      <c r="J149" s="119"/>
      <c r="K149" s="119"/>
      <c r="L149" s="122"/>
      <c r="M149" s="123"/>
      <c r="N149" s="123"/>
      <c r="O149" s="123"/>
      <c r="P149" s="121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72"/>
      <c r="AH149" s="73"/>
      <c r="AI149" s="73"/>
      <c r="AJ149" s="73"/>
    </row>
    <row r="150" spans="1:36" s="74" customFormat="1" ht="12.75" x14ac:dyDescent="0.2">
      <c r="A150" s="71"/>
      <c r="B150" s="125" t="s">
        <v>115</v>
      </c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7"/>
      <c r="P150" s="66"/>
      <c r="Q150" s="66"/>
      <c r="R150" s="125" t="s">
        <v>107</v>
      </c>
      <c r="S150" s="66"/>
      <c r="T150" s="66"/>
      <c r="U150" s="67" t="s">
        <v>14</v>
      </c>
      <c r="V150" s="126" t="s">
        <v>123</v>
      </c>
      <c r="W150" s="66"/>
      <c r="X150" s="66"/>
      <c r="Y150" s="66"/>
      <c r="Z150" s="119"/>
      <c r="AA150" s="119"/>
      <c r="AB150" s="119"/>
      <c r="AC150" s="119"/>
      <c r="AD150" s="119"/>
      <c r="AE150" s="119"/>
      <c r="AF150" s="119"/>
      <c r="AG150" s="72"/>
      <c r="AH150" s="73"/>
      <c r="AI150" s="73"/>
      <c r="AJ150" s="73"/>
    </row>
    <row r="151" spans="1:36" s="74" customFormat="1" ht="12.75" x14ac:dyDescent="0.2">
      <c r="A151" s="71"/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7" t="s">
        <v>14</v>
      </c>
      <c r="V151" s="412">
        <f>(V160*Ag)/1000</f>
        <v>606.33285124647182</v>
      </c>
      <c r="W151" s="413"/>
      <c r="X151" s="413"/>
      <c r="Y151" s="413"/>
      <c r="Z151" s="119"/>
      <c r="AA151" s="119"/>
      <c r="AB151" s="119"/>
      <c r="AC151" s="119"/>
      <c r="AD151" s="119"/>
      <c r="AE151" s="119"/>
      <c r="AF151" s="119"/>
      <c r="AG151" s="72"/>
      <c r="AH151" s="73"/>
      <c r="AI151" s="73"/>
      <c r="AJ151" s="73"/>
    </row>
    <row r="152" spans="1:36" s="74" customFormat="1" ht="12.75" x14ac:dyDescent="0.2">
      <c r="A152" s="71"/>
      <c r="B152" s="138" t="s">
        <v>118</v>
      </c>
      <c r="C152" s="119"/>
      <c r="D152" s="119"/>
      <c r="E152" s="119"/>
      <c r="F152" s="119"/>
      <c r="G152" s="119"/>
      <c r="H152" s="119"/>
      <c r="I152" s="119"/>
      <c r="J152" s="119"/>
      <c r="K152" s="119"/>
      <c r="L152" s="122"/>
      <c r="M152" s="123"/>
      <c r="N152" s="123"/>
      <c r="O152" s="123"/>
      <c r="P152" s="121"/>
      <c r="Q152" s="119"/>
      <c r="R152" s="125" t="s">
        <v>52</v>
      </c>
      <c r="S152" s="119"/>
      <c r="T152" s="119"/>
      <c r="U152" s="67" t="s">
        <v>14</v>
      </c>
      <c r="V152" s="414">
        <v>0.8</v>
      </c>
      <c r="W152" s="415"/>
      <c r="X152" s="415"/>
      <c r="Y152" s="415"/>
      <c r="Z152" s="119"/>
      <c r="AA152" s="119"/>
      <c r="AB152" s="119"/>
      <c r="AC152" s="119"/>
      <c r="AD152" s="119"/>
      <c r="AE152" s="119"/>
      <c r="AF152" s="119"/>
      <c r="AG152" s="72"/>
      <c r="AH152" s="73"/>
      <c r="AI152" s="250"/>
      <c r="AJ152" s="73"/>
    </row>
    <row r="153" spans="1:36" s="74" customFormat="1" ht="12.75" x14ac:dyDescent="0.2">
      <c r="A153" s="71"/>
      <c r="B153" s="138" t="s">
        <v>119</v>
      </c>
      <c r="C153" s="119"/>
      <c r="D153" s="119"/>
      <c r="E153" s="119"/>
      <c r="F153" s="119"/>
      <c r="G153" s="119"/>
      <c r="H153" s="119"/>
      <c r="I153" s="119"/>
      <c r="J153" s="119"/>
      <c r="K153" s="119"/>
      <c r="L153" s="122"/>
      <c r="M153" s="123"/>
      <c r="N153" s="123"/>
      <c r="O153" s="123"/>
      <c r="P153" s="121"/>
      <c r="Q153" s="119"/>
      <c r="R153" s="125" t="s">
        <v>120</v>
      </c>
      <c r="S153" s="119"/>
      <c r="T153" s="119"/>
      <c r="U153" s="67" t="s">
        <v>14</v>
      </c>
      <c r="V153" s="416">
        <f>MIN(W13,W14)</f>
        <v>25.492782592773438</v>
      </c>
      <c r="W153" s="417"/>
      <c r="X153" s="417"/>
      <c r="Y153" s="417"/>
      <c r="Z153" s="119"/>
      <c r="AA153" s="119"/>
      <c r="AB153" s="119"/>
      <c r="AC153" s="119"/>
      <c r="AD153" s="119"/>
      <c r="AE153" s="119"/>
      <c r="AF153" s="119"/>
      <c r="AG153" s="72"/>
      <c r="AH153" s="73"/>
      <c r="AI153" s="73"/>
      <c r="AJ153" s="73"/>
    </row>
    <row r="154" spans="1:36" s="74" customFormat="1" ht="12.75" x14ac:dyDescent="0.2">
      <c r="A154" s="71"/>
      <c r="B154" s="138" t="s">
        <v>121</v>
      </c>
      <c r="C154" s="119"/>
      <c r="D154" s="119"/>
      <c r="E154" s="119"/>
      <c r="F154" s="119"/>
      <c r="G154" s="119"/>
      <c r="H154" s="119"/>
      <c r="I154" s="119"/>
      <c r="J154" s="119"/>
      <c r="K154" s="119"/>
      <c r="L154" s="122"/>
      <c r="M154" s="123"/>
      <c r="N154" s="123"/>
      <c r="O154" s="123"/>
      <c r="P154" s="121"/>
      <c r="Q154" s="119"/>
      <c r="R154" s="125" t="s">
        <v>54</v>
      </c>
      <c r="S154" s="119"/>
      <c r="T154" s="119"/>
      <c r="U154" s="67" t="s">
        <v>14</v>
      </c>
      <c r="V154" s="414">
        <f>(V152*X66*1000/V153)</f>
        <v>18.828858648646221</v>
      </c>
      <c r="W154" s="415"/>
      <c r="X154" s="415"/>
      <c r="Y154" s="415"/>
      <c r="Z154" s="119"/>
      <c r="AA154" s="119"/>
      <c r="AB154" s="119"/>
      <c r="AC154" s="119"/>
      <c r="AD154" s="119"/>
      <c r="AE154" s="119"/>
      <c r="AF154" s="158" t="str">
        <f>IF(V154&gt;200,"[Preferably &lt; 200]","")</f>
        <v/>
      </c>
      <c r="AG154" s="72"/>
      <c r="AH154" s="73"/>
      <c r="AI154" s="73"/>
      <c r="AJ154" s="73"/>
    </row>
    <row r="155" spans="1:36" s="124" customFormat="1" ht="12" x14ac:dyDescent="0.2">
      <c r="A155" s="134"/>
      <c r="B155" s="138" t="s">
        <v>122</v>
      </c>
      <c r="C155" s="138"/>
      <c r="D155" s="138"/>
      <c r="E155" s="138"/>
      <c r="F155" s="138"/>
      <c r="G155" s="138"/>
      <c r="H155" s="138"/>
      <c r="I155" s="138"/>
      <c r="J155" s="138"/>
      <c r="K155" s="138"/>
      <c r="L155" s="142"/>
      <c r="M155" s="142"/>
      <c r="N155" s="142"/>
      <c r="O155" s="142"/>
      <c r="P155" s="138"/>
      <c r="Q155" s="138"/>
      <c r="R155" s="125" t="s">
        <v>65</v>
      </c>
      <c r="S155" s="138"/>
      <c r="T155" s="138"/>
      <c r="U155" s="143" t="s">
        <v>14</v>
      </c>
      <c r="V155" s="431">
        <f>PI()^2*E/V154^2</f>
        <v>5567.7759507509363</v>
      </c>
      <c r="W155" s="432"/>
      <c r="X155" s="432"/>
      <c r="Y155" s="432"/>
      <c r="Z155" s="138"/>
      <c r="AA155" s="138"/>
      <c r="AB155" s="138"/>
      <c r="AC155" s="138"/>
      <c r="AD155" s="138"/>
      <c r="AE155" s="138"/>
      <c r="AF155" s="158" t="s">
        <v>126</v>
      </c>
      <c r="AG155" s="135"/>
      <c r="AH155" s="125"/>
      <c r="AI155" s="125"/>
      <c r="AJ155" s="125"/>
    </row>
    <row r="156" spans="1:36" s="124" customFormat="1" ht="12" x14ac:dyDescent="0.2">
      <c r="A156" s="134"/>
      <c r="B156" s="138" t="s">
        <v>155</v>
      </c>
      <c r="C156" s="138"/>
      <c r="D156" s="138"/>
      <c r="E156" s="138"/>
      <c r="F156" s="138"/>
      <c r="G156" s="138"/>
      <c r="H156" s="138"/>
      <c r="I156" s="138"/>
      <c r="J156" s="138"/>
      <c r="K156" s="138"/>
      <c r="L156" s="142"/>
      <c r="M156" s="142"/>
      <c r="N156" s="142"/>
      <c r="O156" s="142"/>
      <c r="P156" s="138"/>
      <c r="Q156" s="138"/>
      <c r="R156" s="125" t="s">
        <v>156</v>
      </c>
      <c r="S156" s="138"/>
      <c r="T156" s="138"/>
      <c r="U156" s="143" t="s">
        <v>14</v>
      </c>
      <c r="V156" s="431">
        <f>IF(V154&lt;=4.71*SQRT(E/Fy),(0.658^(Fy/V155))*Fy,0.877*V155)</f>
        <v>245.34551726069824</v>
      </c>
      <c r="W156" s="432"/>
      <c r="X156" s="432"/>
      <c r="Y156" s="432"/>
      <c r="Z156" s="138"/>
      <c r="AA156" s="138"/>
      <c r="AB156" s="138"/>
      <c r="AC156" s="138"/>
      <c r="AD156" s="138"/>
      <c r="AE156" s="138"/>
      <c r="AF156" s="158"/>
      <c r="AG156" s="135"/>
      <c r="AH156" s="125"/>
      <c r="AI156" s="125"/>
      <c r="AJ156" s="125"/>
    </row>
    <row r="157" spans="1:36" s="124" customFormat="1" ht="12.75" x14ac:dyDescent="0.2">
      <c r="A157" s="134"/>
      <c r="B157" s="128" t="s">
        <v>153</v>
      </c>
      <c r="C157" s="167"/>
      <c r="D157" s="167"/>
      <c r="E157" s="167"/>
      <c r="F157" s="167"/>
      <c r="G157" s="167"/>
      <c r="H157" s="167"/>
      <c r="I157" s="167"/>
      <c r="J157" s="167"/>
      <c r="K157" s="167"/>
      <c r="L157" s="142"/>
      <c r="M157" s="168"/>
      <c r="N157" s="168"/>
      <c r="O157" s="168"/>
      <c r="P157" s="138"/>
      <c r="Q157" s="167"/>
      <c r="R157" s="125" t="s">
        <v>154</v>
      </c>
      <c r="S157" s="167"/>
      <c r="T157" s="167"/>
      <c r="U157" s="67" t="s">
        <v>14</v>
      </c>
      <c r="V157" s="416">
        <f>IF(AA103="Non Slender",V148,MIN(V148,1.92*tw*SQRT(E/V156)*(1-(0.34/M103)*SQRT(E/V156))))</f>
        <v>76.399999618530273</v>
      </c>
      <c r="W157" s="416"/>
      <c r="X157" s="416"/>
      <c r="Y157" s="416"/>
      <c r="Z157" s="138"/>
      <c r="AA157" s="138"/>
      <c r="AB157" s="138"/>
      <c r="AC157" s="138"/>
      <c r="AD157" s="138"/>
      <c r="AE157" s="138"/>
      <c r="AF157" s="158"/>
      <c r="AG157" s="135"/>
      <c r="AH157" s="125"/>
      <c r="AI157" s="125"/>
      <c r="AJ157" s="125"/>
    </row>
    <row r="158" spans="1:36" s="124" customFormat="1" ht="12.75" x14ac:dyDescent="0.2">
      <c r="A158" s="134"/>
      <c r="B158" s="128" t="s">
        <v>148</v>
      </c>
      <c r="C158" s="167"/>
      <c r="D158" s="167"/>
      <c r="E158" s="167"/>
      <c r="F158" s="167"/>
      <c r="G158" s="167"/>
      <c r="H158" s="167"/>
      <c r="I158" s="167"/>
      <c r="J158" s="167"/>
      <c r="K158" s="167"/>
      <c r="L158" s="142"/>
      <c r="M158" s="168"/>
      <c r="N158" s="168"/>
      <c r="O158" s="168"/>
      <c r="P158" s="138"/>
      <c r="Q158" s="167"/>
      <c r="R158" s="125" t="s">
        <v>149</v>
      </c>
      <c r="S158" s="167"/>
      <c r="T158" s="167"/>
      <c r="U158" s="67" t="s">
        <v>14</v>
      </c>
      <c r="V158" s="414">
        <f>(Ag-($V$148-V157)*tw)/Ag</f>
        <v>1</v>
      </c>
      <c r="W158" s="415"/>
      <c r="X158" s="415"/>
      <c r="Y158" s="415"/>
      <c r="Z158" s="138"/>
      <c r="AA158" s="138"/>
      <c r="AB158" s="138"/>
      <c r="AC158" s="138"/>
      <c r="AD158" s="138"/>
      <c r="AE158" s="138"/>
      <c r="AF158" s="158"/>
      <c r="AG158" s="135"/>
      <c r="AH158" s="125"/>
      <c r="AI158" s="125"/>
      <c r="AJ158" s="125"/>
    </row>
    <row r="159" spans="1:36" s="124" customFormat="1" ht="12.75" x14ac:dyDescent="0.2">
      <c r="A159" s="134"/>
      <c r="B159" s="128" t="s">
        <v>150</v>
      </c>
      <c r="C159" s="167"/>
      <c r="D159" s="167"/>
      <c r="E159" s="167"/>
      <c r="F159" s="167"/>
      <c r="G159" s="167"/>
      <c r="H159" s="167"/>
      <c r="I159" s="167"/>
      <c r="J159" s="167"/>
      <c r="K159" s="167"/>
      <c r="L159" s="142"/>
      <c r="M159" s="168"/>
      <c r="N159" s="168"/>
      <c r="O159" s="168"/>
      <c r="P159" s="138"/>
      <c r="Q159" s="167"/>
      <c r="R159" s="125" t="s">
        <v>151</v>
      </c>
      <c r="S159" s="167"/>
      <c r="T159" s="167"/>
      <c r="U159" s="67" t="s">
        <v>14</v>
      </c>
      <c r="V159" s="414">
        <f>IF(M105="Slender Element Section",V147*V158,1)</f>
        <v>1</v>
      </c>
      <c r="W159" s="415"/>
      <c r="X159" s="415"/>
      <c r="Y159" s="415"/>
      <c r="Z159" s="138"/>
      <c r="AA159" s="138"/>
      <c r="AB159" s="138"/>
      <c r="AC159" s="138"/>
      <c r="AD159" s="138"/>
      <c r="AE159" s="138"/>
      <c r="AF159" s="158"/>
      <c r="AG159" s="135"/>
      <c r="AH159" s="125"/>
      <c r="AI159" s="125"/>
      <c r="AJ159" s="125"/>
    </row>
    <row r="160" spans="1:36" s="124" customFormat="1" ht="12" x14ac:dyDescent="0.2">
      <c r="A160" s="134"/>
      <c r="B160" s="138" t="s">
        <v>124</v>
      </c>
      <c r="C160" s="138"/>
      <c r="D160" s="138"/>
      <c r="E160" s="138"/>
      <c r="F160" s="138"/>
      <c r="G160" s="138"/>
      <c r="H160" s="138"/>
      <c r="I160" s="138"/>
      <c r="J160" s="138"/>
      <c r="K160" s="138"/>
      <c r="L160" s="142"/>
      <c r="M160" s="142"/>
      <c r="N160" s="142"/>
      <c r="O160" s="142"/>
      <c r="P160" s="138"/>
      <c r="Q160" s="138"/>
      <c r="R160" s="125" t="s">
        <v>70</v>
      </c>
      <c r="S160" s="138"/>
      <c r="T160" s="138"/>
      <c r="U160" s="143" t="s">
        <v>14</v>
      </c>
      <c r="V160" s="431">
        <f>IF(V154&lt;=4.71*SQRT(E/(Qfb*Fy)),Qfb*(0.658^(Qfb*Fy/V155))*Fy,0.877*V155)</f>
        <v>245.34551726069824</v>
      </c>
      <c r="W160" s="432"/>
      <c r="X160" s="432"/>
      <c r="Y160" s="432"/>
      <c r="Z160" s="138"/>
      <c r="AA160" s="138"/>
      <c r="AB160" s="138"/>
      <c r="AC160" s="138"/>
      <c r="AD160" s="138"/>
      <c r="AE160" s="138"/>
      <c r="AF160" s="158" t="str">
        <f>IF(M105="Slender Element Section",IF(V154&lt;=4.71*SQRT(E/(Qfb*Fy)),"[E7-2]","[E7-3]"),IF(V154&lt;=4.71*SQRT(E/(Qfb*Fy)),"[E3-2]","[E3-3]"))</f>
        <v>[E3-2]</v>
      </c>
      <c r="AG160" s="135"/>
      <c r="AH160" s="125"/>
      <c r="AI160" s="125"/>
      <c r="AJ160" s="125"/>
    </row>
    <row r="161" spans="1:36" s="124" customFormat="1" x14ac:dyDescent="0.2">
      <c r="A161" s="134"/>
      <c r="B161" s="138"/>
      <c r="C161" s="138"/>
      <c r="D161" s="138"/>
      <c r="E161" s="138"/>
      <c r="F161" s="138"/>
      <c r="G161" s="138"/>
      <c r="H161" s="138"/>
      <c r="I161" s="138"/>
      <c r="J161" s="138"/>
      <c r="K161" s="138"/>
      <c r="L161" s="142"/>
      <c r="M161" s="142"/>
      <c r="N161" s="142"/>
      <c r="O161" s="142"/>
      <c r="P161" s="138"/>
      <c r="Q161" s="138"/>
      <c r="R161" s="138"/>
      <c r="S161" s="138"/>
      <c r="T161" s="138"/>
      <c r="U161" s="138"/>
      <c r="V161" s="138"/>
      <c r="W161" s="138"/>
      <c r="X161" s="138"/>
      <c r="Y161" s="138"/>
      <c r="Z161" s="138"/>
      <c r="AA161" s="138"/>
      <c r="AB161" s="138"/>
      <c r="AC161" s="138"/>
      <c r="AD161" s="138"/>
      <c r="AE161" s="138"/>
      <c r="AF161" s="138"/>
      <c r="AG161" s="135"/>
      <c r="AH161" s="125"/>
      <c r="AI161" s="125"/>
      <c r="AJ161" s="125"/>
    </row>
    <row r="162" spans="1:36" s="124" customFormat="1" ht="12.75" x14ac:dyDescent="0.2">
      <c r="A162" s="134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9"/>
      <c r="O162" s="70"/>
      <c r="P162" s="70"/>
      <c r="Q162" s="400" t="s">
        <v>16</v>
      </c>
      <c r="R162" s="401"/>
      <c r="S162" s="401"/>
      <c r="T162" s="401"/>
      <c r="U162" s="401"/>
      <c r="V162" s="401"/>
      <c r="W162" s="401"/>
      <c r="X162" s="402" t="s">
        <v>17</v>
      </c>
      <c r="Y162" s="401"/>
      <c r="Z162" s="401"/>
      <c r="AA162" s="401"/>
      <c r="AB162" s="401"/>
      <c r="AC162" s="401"/>
      <c r="AD162" s="401"/>
      <c r="AE162" s="401"/>
      <c r="AF162" s="401"/>
      <c r="AG162" s="135"/>
      <c r="AH162" s="125"/>
      <c r="AI162" s="125"/>
      <c r="AJ162" s="125"/>
    </row>
    <row r="163" spans="1:36" s="124" customFormat="1" ht="12.75" x14ac:dyDescent="0.2">
      <c r="A163" s="134"/>
      <c r="B163" s="403" t="s">
        <v>175</v>
      </c>
      <c r="C163" s="404"/>
      <c r="D163" s="404"/>
      <c r="E163" s="404"/>
      <c r="F163" s="404"/>
      <c r="G163" s="404"/>
      <c r="H163" s="404"/>
      <c r="I163" s="404"/>
      <c r="J163" s="404"/>
      <c r="K163" s="404"/>
      <c r="L163" s="404"/>
      <c r="M163" s="404"/>
      <c r="N163" s="404"/>
      <c r="O163" s="404"/>
      <c r="P163" s="404"/>
      <c r="Q163" s="405">
        <v>1.67</v>
      </c>
      <c r="R163" s="406"/>
      <c r="S163" s="406"/>
      <c r="T163" s="406"/>
      <c r="U163" s="406"/>
      <c r="V163" s="406"/>
      <c r="W163" s="406"/>
      <c r="X163" s="405">
        <v>0.9</v>
      </c>
      <c r="Y163" s="406"/>
      <c r="Z163" s="406"/>
      <c r="AA163" s="406"/>
      <c r="AB163" s="406"/>
      <c r="AC163" s="406"/>
      <c r="AD163" s="406"/>
      <c r="AE163" s="406"/>
      <c r="AF163" s="406"/>
      <c r="AG163" s="135"/>
      <c r="AH163" s="125"/>
      <c r="AI163" s="125"/>
      <c r="AJ163" s="125"/>
    </row>
    <row r="164" spans="1:36" s="124" customFormat="1" ht="12.75" x14ac:dyDescent="0.2">
      <c r="A164" s="134"/>
      <c r="B164" s="403" t="s">
        <v>125</v>
      </c>
      <c r="C164" s="404"/>
      <c r="D164" s="404"/>
      <c r="E164" s="404"/>
      <c r="F164" s="404"/>
      <c r="G164" s="404"/>
      <c r="H164" s="404"/>
      <c r="I164" s="404"/>
      <c r="J164" s="404"/>
      <c r="K164" s="404"/>
      <c r="L164" s="404"/>
      <c r="M164" s="404"/>
      <c r="N164" s="404"/>
      <c r="O164" s="404"/>
      <c r="P164" s="404"/>
      <c r="Q164" s="408">
        <f>V151/Q163</f>
        <v>363.07356362064183</v>
      </c>
      <c r="R164" s="409"/>
      <c r="S164" s="409"/>
      <c r="T164" s="409"/>
      <c r="U164" s="409"/>
      <c r="V164" s="409"/>
      <c r="W164" s="409"/>
      <c r="X164" s="408">
        <f>X163*V151</f>
        <v>545.69956612182466</v>
      </c>
      <c r="Y164" s="409"/>
      <c r="Z164" s="409"/>
      <c r="AA164" s="409"/>
      <c r="AB164" s="409"/>
      <c r="AC164" s="409"/>
      <c r="AD164" s="409"/>
      <c r="AE164" s="409"/>
      <c r="AF164" s="409"/>
      <c r="AG164" s="135"/>
      <c r="AH164" s="125"/>
      <c r="AI164" s="125"/>
      <c r="AJ164" s="125"/>
    </row>
    <row r="165" spans="1:36" s="124" customFormat="1" x14ac:dyDescent="0.2">
      <c r="A165" s="134"/>
      <c r="B165" s="138"/>
      <c r="C165" s="138"/>
      <c r="D165" s="138"/>
      <c r="E165" s="138"/>
      <c r="F165" s="138"/>
      <c r="G165" s="138"/>
      <c r="H165" s="138"/>
      <c r="I165" s="138"/>
      <c r="J165" s="138"/>
      <c r="K165" s="138"/>
      <c r="L165" s="142"/>
      <c r="M165" s="142"/>
      <c r="N165" s="142"/>
      <c r="O165" s="142"/>
      <c r="P165" s="138"/>
      <c r="Q165" s="138"/>
      <c r="R165" s="138"/>
      <c r="S165" s="138"/>
      <c r="T165" s="138"/>
      <c r="U165" s="138"/>
      <c r="V165" s="138"/>
      <c r="W165" s="138"/>
      <c r="X165" s="138"/>
      <c r="Y165" s="138"/>
      <c r="Z165" s="138"/>
      <c r="AA165" s="138"/>
      <c r="AB165" s="138"/>
      <c r="AC165" s="138"/>
      <c r="AD165" s="138"/>
      <c r="AE165" s="138"/>
      <c r="AF165" s="138"/>
      <c r="AG165" s="135"/>
      <c r="AH165" s="125"/>
      <c r="AI165" s="125"/>
      <c r="AJ165" s="125"/>
    </row>
    <row r="166" spans="1:36" s="124" customFormat="1" x14ac:dyDescent="0.2">
      <c r="A166" s="134"/>
      <c r="B166" s="35" t="str">
        <f>"2.2) Torsional and Flexural-Torsional Buckling "&amp;IF(M105="Slender Element Section","with","without")&amp;" Slender Elements:"</f>
        <v>2.2) Torsional and Flexural-Torsional Buckling without Slender Elements:</v>
      </c>
      <c r="C166" s="138"/>
      <c r="D166" s="138"/>
      <c r="E166" s="138"/>
      <c r="F166" s="138"/>
      <c r="G166" s="138"/>
      <c r="H166" s="138"/>
      <c r="I166" s="138"/>
      <c r="J166" s="138"/>
      <c r="K166" s="138"/>
      <c r="L166" s="142"/>
      <c r="M166" s="142"/>
      <c r="N166" s="142"/>
      <c r="O166" s="142"/>
      <c r="P166" s="138"/>
      <c r="Q166" s="138"/>
      <c r="R166" s="138"/>
      <c r="S166" s="138"/>
      <c r="T166" s="138"/>
      <c r="U166" s="138"/>
      <c r="V166" s="138"/>
      <c r="W166" s="138"/>
      <c r="X166" s="138"/>
      <c r="Y166" s="138"/>
      <c r="Z166" s="138"/>
      <c r="AA166" s="138"/>
      <c r="AB166" s="138"/>
      <c r="AC166" s="138"/>
      <c r="AD166" s="138"/>
      <c r="AE166" s="138"/>
      <c r="AF166" s="138"/>
      <c r="AG166" s="135"/>
      <c r="AH166" s="125"/>
      <c r="AI166" s="125"/>
      <c r="AJ166" s="125"/>
    </row>
    <row r="167" spans="1:36" s="124" customFormat="1" ht="12" x14ac:dyDescent="0.2">
      <c r="A167" s="134"/>
      <c r="B167" s="125" t="s">
        <v>115</v>
      </c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7"/>
      <c r="P167" s="66"/>
      <c r="Q167" s="66"/>
      <c r="R167" s="125" t="s">
        <v>107</v>
      </c>
      <c r="S167" s="66"/>
      <c r="T167" s="66"/>
      <c r="U167" s="67" t="s">
        <v>14</v>
      </c>
      <c r="V167" s="412">
        <f>(V174*Ag)/1000</f>
        <v>601.70947899367093</v>
      </c>
      <c r="W167" s="413"/>
      <c r="X167" s="413"/>
      <c r="Y167" s="413"/>
      <c r="Z167" s="138"/>
      <c r="AA167" s="138"/>
      <c r="AB167" s="138"/>
      <c r="AC167" s="138"/>
      <c r="AD167" s="138"/>
      <c r="AE167" s="138"/>
      <c r="AF167" s="158"/>
      <c r="AG167" s="135"/>
      <c r="AH167" s="125"/>
      <c r="AI167" s="125"/>
      <c r="AJ167" s="125"/>
    </row>
    <row r="168" spans="1:36" s="124" customFormat="1" ht="12.75" x14ac:dyDescent="0.2">
      <c r="A168" s="134"/>
      <c r="B168" s="138" t="s">
        <v>144</v>
      </c>
      <c r="C168" s="119"/>
      <c r="D168" s="119"/>
      <c r="E168" s="119"/>
      <c r="F168" s="119"/>
      <c r="G168" s="119"/>
      <c r="H168" s="119"/>
      <c r="I168" s="119"/>
      <c r="J168" s="119"/>
      <c r="K168" s="119"/>
      <c r="L168" s="122"/>
      <c r="M168" s="123"/>
      <c r="N168" s="123"/>
      <c r="O168" s="123"/>
      <c r="P168" s="121"/>
      <c r="Q168" s="119"/>
      <c r="R168" s="125" t="s">
        <v>145</v>
      </c>
      <c r="S168" s="119"/>
      <c r="T168" s="119"/>
      <c r="U168" s="67" t="s">
        <v>14</v>
      </c>
      <c r="V168" s="414">
        <v>1</v>
      </c>
      <c r="W168" s="415"/>
      <c r="X168" s="415"/>
      <c r="Y168" s="415"/>
      <c r="Z168" s="138"/>
      <c r="AA168" s="138"/>
      <c r="AB168" s="138"/>
      <c r="AC168" s="138"/>
      <c r="AD168" s="138"/>
      <c r="AE168" s="138"/>
      <c r="AF168" s="158"/>
      <c r="AG168" s="135"/>
      <c r="AH168" s="125"/>
      <c r="AI168" s="125"/>
      <c r="AJ168" s="125"/>
    </row>
    <row r="169" spans="1:36" s="124" customFormat="1" ht="12" x14ac:dyDescent="0.2">
      <c r="A169" s="134"/>
      <c r="B169" s="138" t="s">
        <v>143</v>
      </c>
      <c r="C169" s="138"/>
      <c r="D169" s="138"/>
      <c r="E169" s="138"/>
      <c r="F169" s="138"/>
      <c r="G169" s="138"/>
      <c r="H169" s="138"/>
      <c r="I169" s="138"/>
      <c r="J169" s="138"/>
      <c r="K169" s="138"/>
      <c r="L169" s="142"/>
      <c r="M169" s="142"/>
      <c r="N169" s="142"/>
      <c r="O169" s="142"/>
      <c r="P169" s="138"/>
      <c r="Q169" s="138"/>
      <c r="R169" s="125" t="s">
        <v>65</v>
      </c>
      <c r="S169" s="138"/>
      <c r="T169" s="138"/>
      <c r="U169" s="143" t="s">
        <v>14</v>
      </c>
      <c r="V169" s="431">
        <f>(PI()^2*E*W16/(V168*X67*1000)^2+X29*W15)*(1/(I15+I16))</f>
        <v>3956.3837152451601</v>
      </c>
      <c r="W169" s="432"/>
      <c r="X169" s="432"/>
      <c r="Y169" s="432"/>
      <c r="Z169" s="138"/>
      <c r="AA169" s="138"/>
      <c r="AB169" s="138"/>
      <c r="AC169" s="138"/>
      <c r="AD169" s="138"/>
      <c r="AE169" s="138"/>
      <c r="AF169" s="158" t="s">
        <v>140</v>
      </c>
      <c r="AG169" s="135"/>
      <c r="AH169" s="125"/>
      <c r="AI169" s="125"/>
      <c r="AJ169" s="125"/>
    </row>
    <row r="170" spans="1:36" s="124" customFormat="1" ht="12" x14ac:dyDescent="0.2">
      <c r="A170" s="134"/>
      <c r="B170" s="138" t="s">
        <v>155</v>
      </c>
      <c r="C170" s="138"/>
      <c r="D170" s="138"/>
      <c r="E170" s="138"/>
      <c r="F170" s="138"/>
      <c r="G170" s="138"/>
      <c r="H170" s="138"/>
      <c r="I170" s="138"/>
      <c r="J170" s="138"/>
      <c r="K170" s="138"/>
      <c r="L170" s="142"/>
      <c r="M170" s="142"/>
      <c r="N170" s="142"/>
      <c r="O170" s="142"/>
      <c r="P170" s="138"/>
      <c r="Q170" s="138"/>
      <c r="R170" s="125" t="s">
        <v>156</v>
      </c>
      <c r="S170" s="138"/>
      <c r="T170" s="138"/>
      <c r="U170" s="143" t="s">
        <v>14</v>
      </c>
      <c r="V170" s="431">
        <f>IF(Fy/V169&lt;=2.25,(0.658^(Fy/V169))*Fy,0.877*V169)</f>
        <v>243.47472359593095</v>
      </c>
      <c r="W170" s="432"/>
      <c r="X170" s="432"/>
      <c r="Y170" s="432"/>
      <c r="Z170" s="138"/>
      <c r="AA170" s="138"/>
      <c r="AB170" s="138"/>
      <c r="AC170" s="138"/>
      <c r="AD170" s="138"/>
      <c r="AE170" s="138"/>
      <c r="AF170" s="158"/>
      <c r="AG170" s="135"/>
      <c r="AH170" s="125"/>
      <c r="AI170" s="125"/>
      <c r="AJ170" s="125"/>
    </row>
    <row r="171" spans="1:36" s="124" customFormat="1" ht="12.75" x14ac:dyDescent="0.2">
      <c r="A171" s="134"/>
      <c r="B171" s="128" t="s">
        <v>153</v>
      </c>
      <c r="C171" s="167"/>
      <c r="D171" s="167"/>
      <c r="E171" s="167"/>
      <c r="F171" s="167"/>
      <c r="G171" s="167"/>
      <c r="H171" s="167"/>
      <c r="I171" s="167"/>
      <c r="J171" s="167"/>
      <c r="K171" s="167"/>
      <c r="L171" s="142"/>
      <c r="M171" s="168"/>
      <c r="N171" s="168"/>
      <c r="O171" s="168"/>
      <c r="P171" s="138"/>
      <c r="Q171" s="167"/>
      <c r="R171" s="125" t="s">
        <v>154</v>
      </c>
      <c r="S171" s="167"/>
      <c r="T171" s="167"/>
      <c r="U171" s="67" t="s">
        <v>14</v>
      </c>
      <c r="V171" s="416">
        <f>IF(AA103="Non Slender",V148,MIN(V148,1.92*tw*SQRT(E/V170)*(1-(0.34/M103)*SQRT(E/V170))))</f>
        <v>76.399999618530273</v>
      </c>
      <c r="W171" s="416"/>
      <c r="X171" s="416"/>
      <c r="Y171" s="416"/>
      <c r="Z171" s="138"/>
      <c r="AA171" s="138"/>
      <c r="AB171" s="138"/>
      <c r="AC171" s="138"/>
      <c r="AD171" s="138"/>
      <c r="AE171" s="138"/>
      <c r="AF171" s="158"/>
      <c r="AG171" s="135"/>
      <c r="AH171" s="125"/>
      <c r="AI171" s="125"/>
      <c r="AJ171" s="125"/>
    </row>
    <row r="172" spans="1:36" s="124" customFormat="1" ht="12.75" x14ac:dyDescent="0.2">
      <c r="A172" s="134"/>
      <c r="B172" s="128" t="s">
        <v>148</v>
      </c>
      <c r="C172" s="167"/>
      <c r="D172" s="167"/>
      <c r="E172" s="167"/>
      <c r="F172" s="167"/>
      <c r="G172" s="167"/>
      <c r="H172" s="167"/>
      <c r="I172" s="167"/>
      <c r="J172" s="167"/>
      <c r="K172" s="167"/>
      <c r="L172" s="142"/>
      <c r="M172" s="168"/>
      <c r="N172" s="168"/>
      <c r="O172" s="168"/>
      <c r="P172" s="138"/>
      <c r="Q172" s="167"/>
      <c r="R172" s="125" t="s">
        <v>149</v>
      </c>
      <c r="S172" s="167"/>
      <c r="T172" s="167"/>
      <c r="U172" s="67" t="s">
        <v>14</v>
      </c>
      <c r="V172" s="414">
        <f>(Ag-($V$148-V171)*tw)/Ag</f>
        <v>1</v>
      </c>
      <c r="W172" s="415"/>
      <c r="X172" s="415"/>
      <c r="Y172" s="415"/>
      <c r="Z172" s="138"/>
      <c r="AA172" s="138"/>
      <c r="AB172" s="138"/>
      <c r="AC172" s="138"/>
      <c r="AD172" s="138"/>
      <c r="AE172" s="138"/>
      <c r="AF172" s="158"/>
      <c r="AG172" s="135"/>
      <c r="AH172" s="125"/>
      <c r="AI172" s="125"/>
      <c r="AJ172" s="125"/>
    </row>
    <row r="173" spans="1:36" s="124" customFormat="1" ht="12.75" x14ac:dyDescent="0.2">
      <c r="A173" s="134"/>
      <c r="B173" s="128" t="s">
        <v>150</v>
      </c>
      <c r="C173" s="167"/>
      <c r="D173" s="167"/>
      <c r="E173" s="167"/>
      <c r="F173" s="167"/>
      <c r="G173" s="167"/>
      <c r="H173" s="167"/>
      <c r="I173" s="167"/>
      <c r="J173" s="167"/>
      <c r="K173" s="167"/>
      <c r="L173" s="142"/>
      <c r="M173" s="168"/>
      <c r="N173" s="168"/>
      <c r="O173" s="168"/>
      <c r="P173" s="138"/>
      <c r="Q173" s="167"/>
      <c r="R173" s="125" t="s">
        <v>151</v>
      </c>
      <c r="S173" s="167"/>
      <c r="T173" s="167"/>
      <c r="U173" s="67" t="s">
        <v>14</v>
      </c>
      <c r="V173" s="414">
        <f>IF(M105="Slender Element Section",V147*V172,1)</f>
        <v>1</v>
      </c>
      <c r="W173" s="415"/>
      <c r="X173" s="415"/>
      <c r="Y173" s="415"/>
      <c r="Z173" s="138"/>
      <c r="AA173" s="138"/>
      <c r="AB173" s="138"/>
      <c r="AC173" s="138"/>
      <c r="AD173" s="138"/>
      <c r="AE173" s="138"/>
      <c r="AF173" s="158"/>
      <c r="AG173" s="135"/>
      <c r="AH173" s="125"/>
      <c r="AI173" s="125"/>
      <c r="AJ173" s="125"/>
    </row>
    <row r="174" spans="1:36" s="124" customFormat="1" ht="12" x14ac:dyDescent="0.2">
      <c r="A174" s="134"/>
      <c r="B174" s="138" t="s">
        <v>124</v>
      </c>
      <c r="C174" s="138"/>
      <c r="D174" s="138"/>
      <c r="E174" s="138"/>
      <c r="F174" s="138"/>
      <c r="G174" s="138"/>
      <c r="H174" s="138"/>
      <c r="I174" s="138"/>
      <c r="J174" s="138"/>
      <c r="K174" s="138"/>
      <c r="L174" s="142"/>
      <c r="M174" s="142"/>
      <c r="N174" s="142"/>
      <c r="O174" s="142"/>
      <c r="P174" s="138"/>
      <c r="Q174" s="138"/>
      <c r="R174" s="125" t="s">
        <v>70</v>
      </c>
      <c r="S174" s="138"/>
      <c r="T174" s="138"/>
      <c r="U174" s="143" t="s">
        <v>14</v>
      </c>
      <c r="V174" s="431">
        <f>IF(Qtftb*Fy/V169&lt;=2.25,Qtftb*(0.658^(Qtftb*Fy/V169))*Fy,0.877*V169)</f>
        <v>243.47472359593095</v>
      </c>
      <c r="W174" s="432"/>
      <c r="X174" s="432"/>
      <c r="Y174" s="432"/>
      <c r="Z174" s="138"/>
      <c r="AA174" s="138"/>
      <c r="AB174" s="138"/>
      <c r="AC174" s="138"/>
      <c r="AD174" s="138"/>
      <c r="AE174" s="138"/>
      <c r="AF174" s="158" t="str">
        <f>IF(M105="Slender Element Section",IF(Qtftb*Fy/V169&lt;=2.25,"[E7-2]","[E7-3]"),IF(Qtftb*Fy/V169&lt;=2.25,"[E3-2]","[E3-3]"))</f>
        <v>[E3-2]</v>
      </c>
      <c r="AG174" s="135"/>
      <c r="AH174" s="125"/>
      <c r="AI174" s="125"/>
      <c r="AJ174" s="125"/>
    </row>
    <row r="175" spans="1:36" s="124" customFormat="1" x14ac:dyDescent="0.2">
      <c r="A175" s="134"/>
      <c r="B175" s="138"/>
      <c r="C175" s="138"/>
      <c r="D175" s="138"/>
      <c r="E175" s="138"/>
      <c r="F175" s="138"/>
      <c r="G175" s="138"/>
      <c r="H175" s="138"/>
      <c r="I175" s="138"/>
      <c r="J175" s="138"/>
      <c r="K175" s="138"/>
      <c r="L175" s="142"/>
      <c r="M175" s="142"/>
      <c r="N175" s="142"/>
      <c r="O175" s="142"/>
      <c r="P175" s="138"/>
      <c r="Q175" s="138"/>
      <c r="R175" s="138"/>
      <c r="S175" s="138"/>
      <c r="T175" s="138"/>
      <c r="U175" s="138"/>
      <c r="V175" s="138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5"/>
      <c r="AH175" s="125"/>
      <c r="AI175" s="125"/>
      <c r="AJ175" s="125"/>
    </row>
    <row r="176" spans="1:36" s="124" customFormat="1" ht="12.75" x14ac:dyDescent="0.2">
      <c r="A176" s="134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9"/>
      <c r="O176" s="70"/>
      <c r="P176" s="70"/>
      <c r="Q176" s="400" t="s">
        <v>16</v>
      </c>
      <c r="R176" s="401"/>
      <c r="S176" s="401"/>
      <c r="T176" s="401"/>
      <c r="U176" s="401"/>
      <c r="V176" s="401"/>
      <c r="W176" s="401"/>
      <c r="X176" s="402" t="s">
        <v>17</v>
      </c>
      <c r="Y176" s="401"/>
      <c r="Z176" s="401"/>
      <c r="AA176" s="401"/>
      <c r="AB176" s="401"/>
      <c r="AC176" s="401"/>
      <c r="AD176" s="401"/>
      <c r="AE176" s="401"/>
      <c r="AF176" s="401"/>
      <c r="AG176" s="135"/>
      <c r="AH176" s="125"/>
      <c r="AI176" s="125"/>
      <c r="AJ176" s="125"/>
    </row>
    <row r="177" spans="1:36" s="124" customFormat="1" ht="12.75" x14ac:dyDescent="0.2">
      <c r="A177" s="134"/>
      <c r="B177" s="403" t="s">
        <v>175</v>
      </c>
      <c r="C177" s="404"/>
      <c r="D177" s="404"/>
      <c r="E177" s="404"/>
      <c r="F177" s="404"/>
      <c r="G177" s="404"/>
      <c r="H177" s="404"/>
      <c r="I177" s="404"/>
      <c r="J177" s="404"/>
      <c r="K177" s="404"/>
      <c r="L177" s="404"/>
      <c r="M177" s="404"/>
      <c r="N177" s="404"/>
      <c r="O177" s="404"/>
      <c r="P177" s="404"/>
      <c r="Q177" s="405">
        <v>1.67</v>
      </c>
      <c r="R177" s="406"/>
      <c r="S177" s="406"/>
      <c r="T177" s="406"/>
      <c r="U177" s="406"/>
      <c r="V177" s="406"/>
      <c r="W177" s="406"/>
      <c r="X177" s="405">
        <v>0.9</v>
      </c>
      <c r="Y177" s="406"/>
      <c r="Z177" s="406"/>
      <c r="AA177" s="406"/>
      <c r="AB177" s="406"/>
      <c r="AC177" s="406"/>
      <c r="AD177" s="406"/>
      <c r="AE177" s="406"/>
      <c r="AF177" s="406"/>
      <c r="AG177" s="135"/>
      <c r="AH177" s="125"/>
      <c r="AI177" s="125"/>
      <c r="AJ177" s="125"/>
    </row>
    <row r="178" spans="1:36" s="124" customFormat="1" ht="12.75" x14ac:dyDescent="0.2">
      <c r="A178" s="134"/>
      <c r="B178" s="403" t="s">
        <v>125</v>
      </c>
      <c r="C178" s="404"/>
      <c r="D178" s="404"/>
      <c r="E178" s="404"/>
      <c r="F178" s="404"/>
      <c r="G178" s="404"/>
      <c r="H178" s="404"/>
      <c r="I178" s="404"/>
      <c r="J178" s="404"/>
      <c r="K178" s="404"/>
      <c r="L178" s="404"/>
      <c r="M178" s="404"/>
      <c r="N178" s="404"/>
      <c r="O178" s="404"/>
      <c r="P178" s="404"/>
      <c r="Q178" s="408">
        <f>V167/Q177</f>
        <v>360.30507724171912</v>
      </c>
      <c r="R178" s="409"/>
      <c r="S178" s="409"/>
      <c r="T178" s="409"/>
      <c r="U178" s="409"/>
      <c r="V178" s="409"/>
      <c r="W178" s="409"/>
      <c r="X178" s="408">
        <f>X177*V167</f>
        <v>541.53853109430383</v>
      </c>
      <c r="Y178" s="409"/>
      <c r="Z178" s="409"/>
      <c r="AA178" s="409"/>
      <c r="AB178" s="409"/>
      <c r="AC178" s="409"/>
      <c r="AD178" s="409"/>
      <c r="AE178" s="409"/>
      <c r="AF178" s="409"/>
      <c r="AG178" s="135"/>
      <c r="AH178" s="125"/>
      <c r="AI178" s="125"/>
      <c r="AJ178" s="125"/>
    </row>
    <row r="179" spans="1:36" s="124" customFormat="1" x14ac:dyDescent="0.2">
      <c r="A179" s="134"/>
      <c r="B179" s="138"/>
      <c r="C179" s="138"/>
      <c r="D179" s="138"/>
      <c r="E179" s="138"/>
      <c r="F179" s="138"/>
      <c r="G179" s="138"/>
      <c r="H179" s="138"/>
      <c r="I179" s="138"/>
      <c r="J179" s="138"/>
      <c r="K179" s="138"/>
      <c r="L179" s="142"/>
      <c r="M179" s="142"/>
      <c r="N179" s="142"/>
      <c r="O179" s="142"/>
      <c r="P179" s="138"/>
      <c r="Q179" s="138"/>
      <c r="R179" s="138"/>
      <c r="S179" s="138"/>
      <c r="T179" s="138"/>
      <c r="U179" s="138"/>
      <c r="V179" s="138"/>
      <c r="W179" s="138"/>
      <c r="X179" s="138"/>
      <c r="Y179" s="138"/>
      <c r="Z179" s="138"/>
      <c r="AA179" s="138"/>
      <c r="AB179" s="138"/>
      <c r="AC179" s="138"/>
      <c r="AD179" s="138"/>
      <c r="AE179" s="138"/>
      <c r="AF179" s="138"/>
      <c r="AG179" s="135"/>
      <c r="AH179" s="125"/>
      <c r="AI179" s="125"/>
      <c r="AJ179" s="125"/>
    </row>
    <row r="180" spans="1:36" s="124" customFormat="1" x14ac:dyDescent="0.2">
      <c r="A180" s="134"/>
      <c r="B180" s="144"/>
      <c r="C180" s="144"/>
      <c r="D180" s="144"/>
      <c r="E180" s="144"/>
      <c r="F180" s="144"/>
      <c r="G180" s="144"/>
      <c r="H180" s="144"/>
      <c r="I180" s="144"/>
      <c r="J180" s="144"/>
      <c r="K180" s="144"/>
      <c r="L180" s="145"/>
      <c r="M180" s="145"/>
      <c r="N180" s="145"/>
      <c r="O180" s="145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  <c r="AF180" s="144"/>
      <c r="AG180" s="135"/>
      <c r="AH180" s="125"/>
      <c r="AI180" s="125"/>
      <c r="AJ180" s="125"/>
    </row>
    <row r="181" spans="1:36" s="124" customFormat="1" x14ac:dyDescent="0.2">
      <c r="A181" s="134"/>
      <c r="B181" s="144"/>
      <c r="C181" s="144"/>
      <c r="D181" s="144"/>
      <c r="E181" s="144"/>
      <c r="F181" s="144"/>
      <c r="G181" s="144"/>
      <c r="H181" s="144"/>
      <c r="I181" s="144"/>
      <c r="J181" s="144"/>
      <c r="K181" s="144"/>
      <c r="L181" s="145"/>
      <c r="M181" s="145"/>
      <c r="N181" s="145"/>
      <c r="O181" s="145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  <c r="AC181" s="144"/>
      <c r="AD181" s="144"/>
      <c r="AE181" s="144"/>
      <c r="AF181" s="144"/>
      <c r="AG181" s="135"/>
      <c r="AH181" s="125"/>
      <c r="AI181" s="125"/>
      <c r="AJ181" s="125"/>
    </row>
    <row r="182" spans="1:36" s="124" customFormat="1" x14ac:dyDescent="0.2">
      <c r="A182" s="134"/>
      <c r="B182" s="144"/>
      <c r="C182" s="144"/>
      <c r="D182" s="144"/>
      <c r="E182" s="144"/>
      <c r="F182" s="144"/>
      <c r="G182" s="144"/>
      <c r="H182" s="144"/>
      <c r="I182" s="144"/>
      <c r="J182" s="144"/>
      <c r="K182" s="144"/>
      <c r="L182" s="145"/>
      <c r="M182" s="145"/>
      <c r="N182" s="145"/>
      <c r="O182" s="145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  <c r="AC182" s="144"/>
      <c r="AD182" s="144"/>
      <c r="AE182" s="144"/>
      <c r="AF182" s="144"/>
      <c r="AG182" s="135"/>
      <c r="AH182" s="125"/>
      <c r="AI182" s="125"/>
      <c r="AJ182" s="125"/>
    </row>
    <row r="183" spans="1:36" s="124" customFormat="1" x14ac:dyDescent="0.2">
      <c r="A183" s="134"/>
      <c r="B183" s="144"/>
      <c r="C183" s="144"/>
      <c r="D183" s="144"/>
      <c r="E183" s="144"/>
      <c r="F183" s="144"/>
      <c r="G183" s="144"/>
      <c r="H183" s="144"/>
      <c r="I183" s="144"/>
      <c r="J183" s="144"/>
      <c r="K183" s="144"/>
      <c r="L183" s="145"/>
      <c r="M183" s="145"/>
      <c r="N183" s="145"/>
      <c r="O183" s="145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  <c r="AC183" s="144"/>
      <c r="AD183" s="144"/>
      <c r="AE183" s="144"/>
      <c r="AF183" s="144"/>
      <c r="AG183" s="135"/>
      <c r="AH183" s="125"/>
      <c r="AI183" s="125"/>
      <c r="AJ183" s="125"/>
    </row>
    <row r="184" spans="1:36" s="124" customFormat="1" x14ac:dyDescent="0.2">
      <c r="A184" s="134"/>
      <c r="B184" s="144"/>
      <c r="C184" s="144"/>
      <c r="D184" s="144"/>
      <c r="E184" s="144"/>
      <c r="F184" s="144"/>
      <c r="G184" s="144"/>
      <c r="H184" s="144"/>
      <c r="I184" s="144"/>
      <c r="J184" s="144"/>
      <c r="K184" s="144"/>
      <c r="L184" s="145"/>
      <c r="M184" s="145"/>
      <c r="N184" s="145"/>
      <c r="O184" s="145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  <c r="AC184" s="144"/>
      <c r="AD184" s="144"/>
      <c r="AE184" s="144"/>
      <c r="AF184" s="144"/>
      <c r="AG184" s="135"/>
      <c r="AH184" s="125"/>
      <c r="AI184" s="125"/>
      <c r="AJ184" s="125"/>
    </row>
    <row r="185" spans="1:36" s="124" customFormat="1" x14ac:dyDescent="0.2">
      <c r="A185" s="147"/>
      <c r="B185" s="154"/>
      <c r="C185" s="154"/>
      <c r="D185" s="154"/>
      <c r="E185" s="154"/>
      <c r="F185" s="154"/>
      <c r="G185" s="154"/>
      <c r="H185" s="154"/>
      <c r="I185" s="154"/>
      <c r="J185" s="154"/>
      <c r="K185" s="154"/>
      <c r="L185" s="178"/>
      <c r="M185" s="178"/>
      <c r="N185" s="178"/>
      <c r="O185" s="178"/>
      <c r="P185" s="154"/>
      <c r="Q185" s="154"/>
      <c r="R185" s="154"/>
      <c r="S185" s="154"/>
      <c r="T185" s="154"/>
      <c r="U185" s="154"/>
      <c r="V185" s="154"/>
      <c r="W185" s="154"/>
      <c r="X185" s="154"/>
      <c r="Y185" s="154"/>
      <c r="Z185" s="154"/>
      <c r="AA185" s="154"/>
      <c r="AB185" s="154"/>
      <c r="AC185" s="154"/>
      <c r="AD185" s="154"/>
      <c r="AE185" s="154"/>
      <c r="AF185" s="154"/>
      <c r="AG185" s="149"/>
      <c r="AH185" s="125"/>
      <c r="AI185" s="125"/>
      <c r="AJ185" s="125"/>
    </row>
    <row r="186" spans="1:36" s="124" customFormat="1" x14ac:dyDescent="0.2">
      <c r="A186" s="176"/>
      <c r="B186" s="155"/>
      <c r="C186" s="155"/>
      <c r="D186" s="155"/>
      <c r="E186" s="155"/>
      <c r="F186" s="155"/>
      <c r="G186" s="155"/>
      <c r="H186" s="155"/>
      <c r="I186" s="155"/>
      <c r="J186" s="155"/>
      <c r="K186" s="155"/>
      <c r="L186" s="179"/>
      <c r="M186" s="179"/>
      <c r="N186" s="179"/>
      <c r="O186" s="179"/>
      <c r="P186" s="155"/>
      <c r="Q186" s="155"/>
      <c r="R186" s="155"/>
      <c r="S186" s="155"/>
      <c r="T186" s="155"/>
      <c r="U186" s="155"/>
      <c r="V186" s="155"/>
      <c r="W186" s="155"/>
      <c r="X186" s="155"/>
      <c r="Y186" s="155"/>
      <c r="Z186" s="155"/>
      <c r="AA186" s="155"/>
      <c r="AB186" s="155"/>
      <c r="AC186" s="155"/>
      <c r="AD186" s="155"/>
      <c r="AE186" s="155"/>
      <c r="AF186" s="155"/>
      <c r="AG186" s="150"/>
      <c r="AH186" s="125"/>
      <c r="AI186" s="125"/>
      <c r="AJ186" s="125"/>
    </row>
    <row r="187" spans="1:36" s="124" customFormat="1" x14ac:dyDescent="0.2">
      <c r="A187" s="134"/>
      <c r="B187" s="35" t="s">
        <v>192</v>
      </c>
      <c r="C187" s="153"/>
      <c r="D187" s="153"/>
      <c r="E187" s="153"/>
      <c r="F187" s="153"/>
      <c r="G187" s="153"/>
      <c r="H187" s="153"/>
      <c r="I187" s="153"/>
      <c r="J187" s="153"/>
      <c r="K187" s="153"/>
      <c r="L187" s="151"/>
      <c r="M187" s="151"/>
      <c r="N187" s="151"/>
      <c r="O187" s="151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35"/>
      <c r="AH187" s="125"/>
      <c r="AI187" s="125"/>
      <c r="AJ187" s="125"/>
    </row>
    <row r="188" spans="1:36" s="124" customFormat="1" x14ac:dyDescent="0.2">
      <c r="A188" s="134"/>
      <c r="B188" s="35" t="s">
        <v>193</v>
      </c>
      <c r="C188" s="153"/>
      <c r="D188" s="153"/>
      <c r="E188" s="153"/>
      <c r="F188" s="153"/>
      <c r="G188" s="153"/>
      <c r="H188" s="153"/>
      <c r="I188" s="153"/>
      <c r="J188" s="153"/>
      <c r="K188" s="153"/>
      <c r="L188" s="151"/>
      <c r="M188" s="151"/>
      <c r="N188" s="151"/>
      <c r="O188" s="151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35"/>
      <c r="AH188" s="125"/>
      <c r="AI188" s="125"/>
      <c r="AJ188" s="125"/>
    </row>
    <row r="189" spans="1:36" s="124" customFormat="1" x14ac:dyDescent="0.2">
      <c r="A189" s="134"/>
      <c r="B189" s="35" t="s">
        <v>157</v>
      </c>
      <c r="C189" s="153"/>
      <c r="D189" s="153"/>
      <c r="E189" s="153"/>
      <c r="F189" s="153"/>
      <c r="G189" s="153"/>
      <c r="H189" s="153"/>
      <c r="I189" s="153"/>
      <c r="J189" s="153"/>
      <c r="K189" s="153"/>
      <c r="L189" s="151"/>
      <c r="M189" s="151"/>
      <c r="N189" s="151"/>
      <c r="O189" s="151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35"/>
      <c r="AH189" s="125"/>
      <c r="AI189" s="125"/>
      <c r="AJ189" s="125"/>
    </row>
    <row r="190" spans="1:36" s="124" customFormat="1" ht="12" x14ac:dyDescent="0.2">
      <c r="A190" s="134"/>
      <c r="B190" s="125" t="s">
        <v>169</v>
      </c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125" t="s">
        <v>67</v>
      </c>
      <c r="O190" s="125"/>
      <c r="P190" s="125" t="s">
        <v>14</v>
      </c>
      <c r="Q190" s="66"/>
      <c r="R190" s="125" t="s">
        <v>170</v>
      </c>
      <c r="S190" s="66"/>
      <c r="T190" s="66"/>
      <c r="U190" s="67" t="s">
        <v>14</v>
      </c>
      <c r="V190" s="420">
        <f>V192</f>
        <v>25.824351801744498</v>
      </c>
      <c r="W190" s="421"/>
      <c r="X190" s="421"/>
      <c r="Y190" s="421"/>
      <c r="Z190" s="153"/>
      <c r="AA190" s="153"/>
      <c r="AB190" s="153"/>
      <c r="AC190" s="153"/>
      <c r="AD190" s="153"/>
      <c r="AE190" s="153"/>
      <c r="AF190" s="153"/>
      <c r="AG190" s="135"/>
      <c r="AH190" s="125"/>
      <c r="AI190" s="125"/>
      <c r="AJ190" s="125"/>
    </row>
    <row r="191" spans="1:36" s="124" customFormat="1" ht="12" x14ac:dyDescent="0.2">
      <c r="A191" s="134"/>
      <c r="B191" s="125" t="s">
        <v>171</v>
      </c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125"/>
      <c r="O191" s="125"/>
      <c r="P191" s="125"/>
      <c r="Q191" s="66"/>
      <c r="R191" s="125" t="s">
        <v>170</v>
      </c>
      <c r="S191" s="66"/>
      <c r="T191" s="66"/>
      <c r="U191" s="67" t="s">
        <v>14</v>
      </c>
      <c r="V191" s="126" t="s">
        <v>172</v>
      </c>
      <c r="W191" s="170"/>
      <c r="X191" s="170"/>
      <c r="Y191" s="170"/>
      <c r="Z191" s="128"/>
      <c r="AA191" s="128"/>
      <c r="AB191" s="128"/>
      <c r="AC191" s="128"/>
      <c r="AD191" s="128"/>
      <c r="AE191" s="128"/>
      <c r="AF191" s="128"/>
      <c r="AG191" s="135"/>
      <c r="AH191" s="125"/>
      <c r="AI191" s="125"/>
      <c r="AJ191" s="125"/>
    </row>
    <row r="192" spans="1:36" s="124" customFormat="1" x14ac:dyDescent="0.2">
      <c r="A192" s="134"/>
      <c r="B192" s="125"/>
      <c r="C192" s="128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67" t="s">
        <v>14</v>
      </c>
      <c r="V192" s="420">
        <f>(Fy*W11)/10^6</f>
        <v>25.824351801744498</v>
      </c>
      <c r="W192" s="421"/>
      <c r="X192" s="421"/>
      <c r="Y192" s="421"/>
      <c r="Z192" s="128"/>
      <c r="AA192" s="128"/>
      <c r="AB192" s="128"/>
      <c r="AC192" s="128"/>
      <c r="AD192" s="128"/>
      <c r="AE192" s="128"/>
      <c r="AF192" s="128"/>
      <c r="AG192" s="135"/>
      <c r="AH192" s="125"/>
      <c r="AI192" s="125"/>
      <c r="AJ192" s="125"/>
    </row>
    <row r="193" spans="1:39" s="124" customFormat="1" x14ac:dyDescent="0.2">
      <c r="A193" s="134"/>
      <c r="B193" s="125"/>
      <c r="C193" s="125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125"/>
      <c r="V193" s="125"/>
      <c r="W193" s="125"/>
      <c r="X193" s="125"/>
      <c r="Y193" s="125"/>
      <c r="Z193" s="125"/>
      <c r="AA193" s="125"/>
      <c r="AB193" s="125"/>
      <c r="AC193" s="125"/>
      <c r="AD193" s="125"/>
      <c r="AE193" s="125"/>
      <c r="AF193" s="125"/>
      <c r="AG193" s="135"/>
      <c r="AH193" s="125"/>
      <c r="AI193" s="125"/>
      <c r="AJ193" s="125"/>
    </row>
    <row r="194" spans="1:39" s="124" customFormat="1" x14ac:dyDescent="0.2">
      <c r="A194" s="134"/>
      <c r="B194" s="35" t="s">
        <v>188</v>
      </c>
      <c r="C194" s="153"/>
      <c r="D194" s="153"/>
      <c r="E194" s="153"/>
      <c r="F194" s="153"/>
      <c r="G194" s="153"/>
      <c r="H194" s="153"/>
      <c r="I194" s="153"/>
      <c r="J194" s="153"/>
      <c r="K194" s="153"/>
      <c r="L194" s="151"/>
      <c r="M194" s="151"/>
      <c r="N194" s="151"/>
      <c r="O194" s="151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25"/>
      <c r="AA194" s="125"/>
      <c r="AB194" s="125"/>
      <c r="AC194" s="125"/>
      <c r="AD194" s="125"/>
      <c r="AE194" s="125"/>
      <c r="AF194" s="125"/>
      <c r="AG194" s="135"/>
      <c r="AH194" s="125"/>
      <c r="AI194" s="125"/>
      <c r="AJ194" s="125"/>
    </row>
    <row r="195" spans="1:39" s="124" customFormat="1" ht="12" x14ac:dyDescent="0.2">
      <c r="A195" s="134"/>
      <c r="B195" s="125" t="s">
        <v>169</v>
      </c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125"/>
      <c r="O195" s="125"/>
      <c r="P195" s="125"/>
      <c r="Q195" s="66"/>
      <c r="R195" s="125" t="s">
        <v>67</v>
      </c>
      <c r="S195" s="66"/>
      <c r="T195" s="66"/>
      <c r="U195" s="67" t="s">
        <v>14</v>
      </c>
      <c r="V195" s="420" t="str">
        <f>IF(X75&lt;=V197,"[NA]",IF(X75&lt;=V198,MIN((V202*(V192*10^6-(V192*10^6-0.7*Fy*W9)*((X75-V197)/(V198-V197)))/10^6),V192),MIN(V203*W9/10^6,V192)))</f>
        <v>[NA]</v>
      </c>
      <c r="W195" s="421"/>
      <c r="X195" s="421"/>
      <c r="Y195" s="421"/>
      <c r="Z195" s="125"/>
      <c r="AA195" s="125"/>
      <c r="AB195" s="125"/>
      <c r="AC195" s="125"/>
      <c r="AD195" s="125"/>
      <c r="AE195" s="125"/>
      <c r="AF195" s="158" t="str">
        <f>IF(X75&lt;=V197,"[F2.2a]",IF(X75&lt;=V198,"[F2-2]","[F2-3]"))</f>
        <v>[F2.2a]</v>
      </c>
      <c r="AG195" s="135"/>
      <c r="AH195" s="125"/>
      <c r="AI195" s="125"/>
      <c r="AJ195" s="125"/>
    </row>
    <row r="196" spans="1:39" s="124" customFormat="1" x14ac:dyDescent="0.2">
      <c r="A196" s="134"/>
      <c r="B196" s="125"/>
      <c r="C196" s="125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125"/>
      <c r="V196" s="125"/>
      <c r="W196" s="125"/>
      <c r="X196" s="125"/>
      <c r="Y196" s="125"/>
      <c r="Z196" s="125"/>
      <c r="AA196" s="125"/>
      <c r="AB196" s="125"/>
      <c r="AC196" s="125"/>
      <c r="AD196" s="125"/>
      <c r="AE196" s="125"/>
      <c r="AF196" s="125"/>
      <c r="AG196" s="135"/>
      <c r="AH196" s="125"/>
      <c r="AI196" s="125"/>
      <c r="AJ196" s="125"/>
    </row>
    <row r="197" spans="1:39" s="124" customFormat="1" ht="12" x14ac:dyDescent="0.2">
      <c r="A197" s="134"/>
      <c r="B197" s="125" t="s">
        <v>176</v>
      </c>
      <c r="C197" s="125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 t="s">
        <v>177</v>
      </c>
      <c r="S197" s="125"/>
      <c r="T197" s="125"/>
      <c r="U197" s="67" t="s">
        <v>14</v>
      </c>
      <c r="V197" s="419">
        <f>1.76*W14*SQRT(E/Fy)/1000</f>
        <v>1.2690388087635793</v>
      </c>
      <c r="W197" s="536"/>
      <c r="X197" s="536"/>
      <c r="Y197" s="536"/>
      <c r="Z197" s="125"/>
      <c r="AA197" s="125"/>
      <c r="AB197" s="125"/>
      <c r="AC197" s="125"/>
      <c r="AD197" s="125"/>
      <c r="AE197" s="125"/>
      <c r="AF197" s="158" t="s">
        <v>181</v>
      </c>
      <c r="AG197" s="135"/>
      <c r="AH197" s="125"/>
      <c r="AI197" s="125"/>
      <c r="AJ197" s="534"/>
      <c r="AK197" s="421"/>
      <c r="AL197" s="421"/>
      <c r="AM197" s="421"/>
    </row>
    <row r="198" spans="1:39" s="124" customFormat="1" ht="12" x14ac:dyDescent="0.2">
      <c r="A198" s="134"/>
      <c r="B198" s="125" t="s">
        <v>176</v>
      </c>
      <c r="C198" s="125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 t="s">
        <v>178</v>
      </c>
      <c r="S198" s="125"/>
      <c r="T198" s="125"/>
      <c r="U198" s="67" t="s">
        <v>14</v>
      </c>
      <c r="V198" s="537">
        <f>(1.95*V199*(E/(0.7*Fy))*SQRT((W15*V200/(W9*V201))+SQRT((W15*V200/(W9*V201))^2+6.76*(0.7*Fy/E)^2)))/1000</f>
        <v>7.636719268520209</v>
      </c>
      <c r="W198" s="538"/>
      <c r="X198" s="538"/>
      <c r="Y198" s="538"/>
      <c r="Z198" s="125"/>
      <c r="AA198" s="125"/>
      <c r="AB198" s="125"/>
      <c r="AC198" s="125"/>
      <c r="AD198" s="125"/>
      <c r="AE198" s="125"/>
      <c r="AF198" s="158" t="s">
        <v>182</v>
      </c>
      <c r="AG198" s="135"/>
      <c r="AH198" s="125"/>
      <c r="AI198" s="125"/>
      <c r="AJ198" s="125"/>
    </row>
    <row r="199" spans="1:39" s="124" customFormat="1" ht="12" x14ac:dyDescent="0.2">
      <c r="A199" s="134"/>
      <c r="B199" s="125"/>
      <c r="C199" s="125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 t="s">
        <v>179</v>
      </c>
      <c r="S199" s="125"/>
      <c r="T199" s="125"/>
      <c r="U199" s="67" t="s">
        <v>14</v>
      </c>
      <c r="V199" s="416">
        <f>SQRT(SQRT(I16*W16)/W9)</f>
        <v>29.468033622538684</v>
      </c>
      <c r="W199" s="417"/>
      <c r="X199" s="417"/>
      <c r="Y199" s="417"/>
      <c r="Z199" s="125"/>
      <c r="AA199" s="125"/>
      <c r="AB199" s="125"/>
      <c r="AC199" s="125"/>
      <c r="AD199" s="125"/>
      <c r="AE199" s="125"/>
      <c r="AF199" s="158"/>
      <c r="AG199" s="135"/>
      <c r="AH199" s="125"/>
      <c r="AI199" s="125"/>
      <c r="AJ199" s="125"/>
    </row>
    <row r="200" spans="1:39" s="124" customFormat="1" x14ac:dyDescent="0.2">
      <c r="A200" s="134"/>
      <c r="B200" s="125"/>
      <c r="C200" s="125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 t="s">
        <v>180</v>
      </c>
      <c r="S200" s="125"/>
      <c r="T200" s="125"/>
      <c r="U200" s="67" t="s">
        <v>14</v>
      </c>
      <c r="V200" s="414">
        <v>1</v>
      </c>
      <c r="W200" s="415"/>
      <c r="X200" s="415"/>
      <c r="Y200" s="415"/>
      <c r="Z200" s="125"/>
      <c r="AA200" s="125"/>
      <c r="AB200" s="125"/>
      <c r="AC200" s="125"/>
      <c r="AD200" s="125"/>
      <c r="AE200" s="125"/>
      <c r="AF200" s="158"/>
      <c r="AG200" s="135"/>
      <c r="AH200" s="125"/>
      <c r="AI200" s="125"/>
      <c r="AJ200" s="125"/>
    </row>
    <row r="201" spans="1:39" s="124" customFormat="1" ht="12" x14ac:dyDescent="0.2">
      <c r="A201" s="134"/>
      <c r="B201" s="125" t="s">
        <v>184</v>
      </c>
      <c r="C201" s="125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 t="s">
        <v>183</v>
      </c>
      <c r="S201" s="125"/>
      <c r="T201" s="125"/>
      <c r="U201" s="67" t="s">
        <v>14</v>
      </c>
      <c r="V201" s="416">
        <f>(h-tf)</f>
        <v>97.199999809265137</v>
      </c>
      <c r="W201" s="417"/>
      <c r="X201" s="417"/>
      <c r="Y201" s="417"/>
      <c r="Z201" s="125"/>
      <c r="AA201" s="125"/>
      <c r="AB201" s="125"/>
      <c r="AC201" s="125"/>
      <c r="AD201" s="125"/>
      <c r="AE201" s="125"/>
      <c r="AF201" s="125"/>
      <c r="AG201" s="135"/>
      <c r="AH201" s="125"/>
      <c r="AI201" s="125"/>
      <c r="AJ201" s="125"/>
    </row>
    <row r="202" spans="1:39" s="124" customFormat="1" ht="12" x14ac:dyDescent="0.2">
      <c r="A202" s="134"/>
      <c r="B202" s="125" t="s">
        <v>186</v>
      </c>
      <c r="C202" s="125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 t="s">
        <v>69</v>
      </c>
      <c r="S202" s="125"/>
      <c r="T202" s="125"/>
      <c r="U202" s="67" t="s">
        <v>14</v>
      </c>
      <c r="V202" s="422">
        <f>12.5*X71/(2.5*X71+3*X72+4*X73+3*X74)</f>
        <v>1.2093987560469939</v>
      </c>
      <c r="W202" s="423"/>
      <c r="X202" s="423"/>
      <c r="Y202" s="423"/>
      <c r="Z202" s="125"/>
      <c r="AA202" s="125"/>
      <c r="AB202" s="125"/>
      <c r="AC202" s="125"/>
      <c r="AD202" s="125"/>
      <c r="AE202" s="125"/>
      <c r="AF202" s="158" t="s">
        <v>185</v>
      </c>
      <c r="AG202" s="135"/>
      <c r="AH202" s="125"/>
      <c r="AI202" s="125"/>
      <c r="AJ202" s="125"/>
    </row>
    <row r="203" spans="1:39" s="124" customFormat="1" ht="12.75" x14ac:dyDescent="0.2">
      <c r="A203" s="134"/>
      <c r="B203" s="125"/>
      <c r="C203" s="125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 t="s">
        <v>70</v>
      </c>
      <c r="S203" s="141"/>
      <c r="T203" s="141"/>
      <c r="U203" s="143" t="s">
        <v>14</v>
      </c>
      <c r="V203" s="431">
        <f>(V202*PI()^2*E/(X75*1000/V199)^2)*SQRT(1+0.078*(W15*V200/(W9*V201))*(X75*1000/V199)^2)</f>
        <v>6340.6050814172631</v>
      </c>
      <c r="W203" s="432"/>
      <c r="X203" s="432"/>
      <c r="Y203" s="432"/>
      <c r="Z203" s="535"/>
      <c r="AA203" s="125"/>
      <c r="AB203" s="125"/>
      <c r="AC203" s="125"/>
      <c r="AD203" s="125"/>
      <c r="AE203" s="125"/>
      <c r="AF203" s="158" t="s">
        <v>187</v>
      </c>
      <c r="AG203" s="135"/>
      <c r="AH203" s="125"/>
      <c r="AI203" s="125"/>
      <c r="AJ203" s="125"/>
    </row>
    <row r="204" spans="1:39" s="124" customFormat="1" x14ac:dyDescent="0.2">
      <c r="A204" s="134"/>
      <c r="B204" s="125"/>
      <c r="C204" s="125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135"/>
      <c r="AH204" s="125"/>
      <c r="AI204" s="125"/>
      <c r="AJ204" s="125"/>
    </row>
    <row r="205" spans="1:39" s="124" customFormat="1" ht="12.75" x14ac:dyDescent="0.2">
      <c r="A205" s="134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9"/>
      <c r="O205" s="70"/>
      <c r="P205" s="70"/>
      <c r="Q205" s="400" t="s">
        <v>16</v>
      </c>
      <c r="R205" s="401"/>
      <c r="S205" s="401"/>
      <c r="T205" s="401"/>
      <c r="U205" s="401"/>
      <c r="V205" s="401"/>
      <c r="W205" s="401"/>
      <c r="X205" s="402" t="s">
        <v>17</v>
      </c>
      <c r="Y205" s="401"/>
      <c r="Z205" s="401"/>
      <c r="AA205" s="401"/>
      <c r="AB205" s="401"/>
      <c r="AC205" s="401"/>
      <c r="AD205" s="401"/>
      <c r="AE205" s="401"/>
      <c r="AF205" s="401"/>
      <c r="AG205" s="135"/>
      <c r="AH205" s="125"/>
      <c r="AI205" s="125"/>
      <c r="AJ205" s="125"/>
    </row>
    <row r="206" spans="1:39" s="124" customFormat="1" ht="12.75" x14ac:dyDescent="0.2">
      <c r="A206" s="134"/>
      <c r="B206" s="403" t="s">
        <v>175</v>
      </c>
      <c r="C206" s="404"/>
      <c r="D206" s="404"/>
      <c r="E206" s="404"/>
      <c r="F206" s="404"/>
      <c r="G206" s="404"/>
      <c r="H206" s="404"/>
      <c r="I206" s="404"/>
      <c r="J206" s="404"/>
      <c r="K206" s="404"/>
      <c r="L206" s="404"/>
      <c r="M206" s="404"/>
      <c r="N206" s="404"/>
      <c r="O206" s="404"/>
      <c r="P206" s="404"/>
      <c r="Q206" s="405">
        <v>1.67</v>
      </c>
      <c r="R206" s="406"/>
      <c r="S206" s="406"/>
      <c r="T206" s="406"/>
      <c r="U206" s="406"/>
      <c r="V206" s="406"/>
      <c r="W206" s="406"/>
      <c r="X206" s="405">
        <v>0.9</v>
      </c>
      <c r="Y206" s="406"/>
      <c r="Z206" s="406"/>
      <c r="AA206" s="406"/>
      <c r="AB206" s="406"/>
      <c r="AC206" s="406"/>
      <c r="AD206" s="406"/>
      <c r="AE206" s="406"/>
      <c r="AF206" s="406"/>
      <c r="AG206" s="135"/>
      <c r="AH206" s="125"/>
      <c r="AI206" s="125"/>
      <c r="AJ206" s="125"/>
    </row>
    <row r="207" spans="1:39" s="124" customFormat="1" ht="12.75" x14ac:dyDescent="0.2">
      <c r="A207" s="134"/>
      <c r="B207" s="403" t="s">
        <v>174</v>
      </c>
      <c r="C207" s="404"/>
      <c r="D207" s="404"/>
      <c r="E207" s="404"/>
      <c r="F207" s="404"/>
      <c r="G207" s="404"/>
      <c r="H207" s="404"/>
      <c r="I207" s="404"/>
      <c r="J207" s="404"/>
      <c r="K207" s="404"/>
      <c r="L207" s="404"/>
      <c r="M207" s="404"/>
      <c r="N207" s="404"/>
      <c r="O207" s="404"/>
      <c r="P207" s="404"/>
      <c r="Q207" s="410">
        <f>IF(AND(AA109="Compact",AA110="Compact"),MIN(V190,V195)/Q206,"[NA]")</f>
        <v>15.46368371361946</v>
      </c>
      <c r="R207" s="411"/>
      <c r="S207" s="411"/>
      <c r="T207" s="411"/>
      <c r="U207" s="411"/>
      <c r="V207" s="411"/>
      <c r="W207" s="411"/>
      <c r="X207" s="410">
        <f>IF(AND(AA109="Compact",AA110="Compact"),X206*MIN(V190,V195))</f>
        <v>23.241916621570049</v>
      </c>
      <c r="Y207" s="411"/>
      <c r="Z207" s="411"/>
      <c r="AA207" s="411"/>
      <c r="AB207" s="411"/>
      <c r="AC207" s="411"/>
      <c r="AD207" s="411"/>
      <c r="AE207" s="411"/>
      <c r="AF207" s="411"/>
      <c r="AG207" s="135"/>
      <c r="AH207" s="125"/>
      <c r="AI207" s="125"/>
      <c r="AJ207" s="125"/>
    </row>
    <row r="208" spans="1:39" s="124" customFormat="1" x14ac:dyDescent="0.2">
      <c r="A208" s="134"/>
      <c r="B208" s="125"/>
      <c r="C208" s="125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125"/>
      <c r="V208" s="125"/>
      <c r="W208" s="125"/>
      <c r="X208" s="125"/>
      <c r="Y208" s="125"/>
      <c r="Z208" s="125"/>
      <c r="AA208" s="125"/>
      <c r="AB208" s="125"/>
      <c r="AC208" s="125"/>
      <c r="AD208" s="125"/>
      <c r="AE208" s="125"/>
      <c r="AF208" s="125"/>
      <c r="AG208" s="135"/>
      <c r="AH208" s="125"/>
      <c r="AI208" s="125"/>
      <c r="AJ208" s="125"/>
    </row>
    <row r="209" spans="1:51" s="124" customFormat="1" x14ac:dyDescent="0.2">
      <c r="A209" s="134"/>
      <c r="B209" s="35" t="s">
        <v>194</v>
      </c>
      <c r="C209" s="125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125"/>
      <c r="V209" s="125"/>
      <c r="W209" s="125"/>
      <c r="X209" s="125"/>
      <c r="Y209" s="125"/>
      <c r="Z209" s="125"/>
      <c r="AA209" s="125"/>
      <c r="AB209" s="125"/>
      <c r="AC209" s="125"/>
      <c r="AD209" s="125"/>
      <c r="AE209" s="125"/>
      <c r="AF209" s="125"/>
      <c r="AG209" s="135"/>
      <c r="AH209" s="125"/>
      <c r="AI209" s="125"/>
      <c r="AJ209" s="125"/>
    </row>
    <row r="210" spans="1:51" s="124" customFormat="1" x14ac:dyDescent="0.2">
      <c r="A210" s="134"/>
      <c r="B210" s="35" t="s">
        <v>189</v>
      </c>
      <c r="C210" s="125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125"/>
      <c r="V210" s="125"/>
      <c r="W210" s="125"/>
      <c r="X210" s="125"/>
      <c r="Y210" s="125"/>
      <c r="Z210" s="125"/>
      <c r="AA210" s="125"/>
      <c r="AB210" s="125"/>
      <c r="AC210" s="125"/>
      <c r="AD210" s="125"/>
      <c r="AE210" s="125"/>
      <c r="AF210" s="125"/>
      <c r="AG210" s="135"/>
      <c r="AH210" s="125"/>
      <c r="AI210" s="125"/>
      <c r="AJ210" s="125"/>
    </row>
    <row r="211" spans="1:51" s="124" customFormat="1" x14ac:dyDescent="0.2">
      <c r="A211" s="134"/>
      <c r="B211" s="180" t="s">
        <v>221</v>
      </c>
      <c r="C211" s="125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125"/>
      <c r="V211" s="125"/>
      <c r="W211" s="125"/>
      <c r="X211" s="125"/>
      <c r="Y211" s="125"/>
      <c r="Z211" s="125"/>
      <c r="AA211" s="125"/>
      <c r="AB211" s="125"/>
      <c r="AC211" s="125"/>
      <c r="AD211" s="125"/>
      <c r="AE211" s="125"/>
      <c r="AF211" s="125"/>
      <c r="AG211" s="135"/>
      <c r="AH211" s="125"/>
      <c r="AI211" s="125"/>
      <c r="AJ211" s="125"/>
    </row>
    <row r="212" spans="1:51" s="124" customFormat="1" x14ac:dyDescent="0.2">
      <c r="A212" s="134"/>
      <c r="B212" s="125"/>
      <c r="C212" s="125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125"/>
      <c r="V212" s="125"/>
      <c r="W212" s="125"/>
      <c r="X212" s="125"/>
      <c r="Y212" s="125"/>
      <c r="Z212" s="125"/>
      <c r="AA212" s="125"/>
      <c r="AB212" s="125"/>
      <c r="AC212" s="125"/>
      <c r="AD212" s="125"/>
      <c r="AE212" s="125"/>
      <c r="AF212" s="125"/>
      <c r="AG212" s="135"/>
      <c r="AH212" s="125"/>
      <c r="AI212" s="125"/>
      <c r="AJ212" s="125"/>
    </row>
    <row r="213" spans="1:51" s="124" customFormat="1" x14ac:dyDescent="0.2">
      <c r="A213" s="134"/>
      <c r="B213" s="35" t="s">
        <v>190</v>
      </c>
      <c r="C213" s="125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125"/>
      <c r="V213" s="125"/>
      <c r="W213" s="125"/>
      <c r="X213" s="125"/>
      <c r="Y213" s="125"/>
      <c r="Z213" s="125"/>
      <c r="AA213" s="125"/>
      <c r="AB213" s="125"/>
      <c r="AC213" s="125"/>
      <c r="AD213" s="125"/>
      <c r="AE213" s="125"/>
      <c r="AF213" s="125"/>
      <c r="AG213" s="135"/>
      <c r="AH213" s="125"/>
      <c r="AI213" s="125"/>
      <c r="AJ213" s="125"/>
    </row>
    <row r="214" spans="1:51" s="124" customFormat="1" ht="12" x14ac:dyDescent="0.2">
      <c r="A214" s="134"/>
      <c r="B214" s="125" t="s">
        <v>169</v>
      </c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125"/>
      <c r="O214" s="125"/>
      <c r="P214" s="125"/>
      <c r="Q214" s="66"/>
      <c r="R214" s="125" t="s">
        <v>67</v>
      </c>
      <c r="S214" s="66"/>
      <c r="T214" s="66"/>
      <c r="U214" s="67" t="s">
        <v>14</v>
      </c>
      <c r="V214" s="420" t="str">
        <f>IF(AA109="Compact","[NA]",IF(AA109="Non Compact",(V192*10^6-(V192*10^6-0.7*Fy*W9)*(M109-R109)/(V109-R109))/10^6,(0.9*E*V215*W9/M109^2)/10^6))</f>
        <v>[NA]</v>
      </c>
      <c r="W214" s="421"/>
      <c r="X214" s="421"/>
      <c r="Y214" s="421"/>
      <c r="Z214" s="125"/>
      <c r="AA214" s="125"/>
      <c r="AB214" s="125"/>
      <c r="AC214" s="125"/>
      <c r="AD214" s="125"/>
      <c r="AE214" s="125"/>
      <c r="AF214" s="158" t="str">
        <f>IF(AA109="Compact","",IF(AA109="Non Compact","[F3-1]","[F3-2]"))</f>
        <v/>
      </c>
      <c r="AG214" s="135"/>
      <c r="AH214" s="125"/>
      <c r="AI214" s="125"/>
      <c r="AJ214" s="125"/>
    </row>
    <row r="215" spans="1:51" s="124" customFormat="1" ht="12" x14ac:dyDescent="0.2">
      <c r="A215" s="134"/>
      <c r="B215" s="125"/>
      <c r="C215" s="125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 t="s">
        <v>191</v>
      </c>
      <c r="S215" s="125"/>
      <c r="T215" s="125"/>
      <c r="U215" s="67" t="s">
        <v>14</v>
      </c>
      <c r="V215" s="422">
        <f>MIN(MAX(4/SQRT(M110),0.35),0.76)</f>
        <v>0.76</v>
      </c>
      <c r="W215" s="423"/>
      <c r="X215" s="423"/>
      <c r="Y215" s="423"/>
      <c r="Z215" s="125"/>
      <c r="AA215" s="125"/>
      <c r="AB215" s="125"/>
      <c r="AC215" s="125"/>
      <c r="AD215" s="125"/>
      <c r="AE215" s="125"/>
      <c r="AF215" s="125"/>
      <c r="AG215" s="135"/>
      <c r="AH215" s="125"/>
      <c r="AI215" s="125"/>
      <c r="AJ215" s="125"/>
    </row>
    <row r="216" spans="1:51" s="124" customFormat="1" x14ac:dyDescent="0.2">
      <c r="A216" s="134"/>
      <c r="B216" s="125"/>
      <c r="C216" s="125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  <c r="T216" s="125"/>
      <c r="U216" s="125"/>
      <c r="V216" s="125"/>
      <c r="W216" s="125"/>
      <c r="X216" s="125"/>
      <c r="Y216" s="125"/>
      <c r="Z216" s="125"/>
      <c r="AA216" s="125"/>
      <c r="AB216" s="125"/>
      <c r="AC216" s="125"/>
      <c r="AD216" s="125"/>
      <c r="AE216" s="125"/>
      <c r="AF216" s="125"/>
      <c r="AG216" s="135"/>
      <c r="AH216" s="125"/>
      <c r="AI216" s="125"/>
      <c r="AJ216" s="125"/>
    </row>
    <row r="217" spans="1:51" s="124" customFormat="1" ht="12.75" x14ac:dyDescent="0.2">
      <c r="A217" s="134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9"/>
      <c r="O217" s="70"/>
      <c r="P217" s="70"/>
      <c r="Q217" s="400" t="s">
        <v>16</v>
      </c>
      <c r="R217" s="401"/>
      <c r="S217" s="401"/>
      <c r="T217" s="401"/>
      <c r="U217" s="401"/>
      <c r="V217" s="401"/>
      <c r="W217" s="401"/>
      <c r="X217" s="402" t="s">
        <v>17</v>
      </c>
      <c r="Y217" s="401"/>
      <c r="Z217" s="401"/>
      <c r="AA217" s="401"/>
      <c r="AB217" s="401"/>
      <c r="AC217" s="401"/>
      <c r="AD217" s="401"/>
      <c r="AE217" s="401"/>
      <c r="AF217" s="401"/>
      <c r="AG217" s="135"/>
      <c r="AH217" s="125"/>
      <c r="AI217" s="125"/>
      <c r="AJ217" s="125"/>
    </row>
    <row r="218" spans="1:51" s="124" customFormat="1" ht="12.75" x14ac:dyDescent="0.2">
      <c r="A218" s="134"/>
      <c r="B218" s="403" t="s">
        <v>175</v>
      </c>
      <c r="C218" s="404"/>
      <c r="D218" s="404"/>
      <c r="E218" s="404"/>
      <c r="F218" s="404"/>
      <c r="G218" s="404"/>
      <c r="H218" s="404"/>
      <c r="I218" s="404"/>
      <c r="J218" s="404"/>
      <c r="K218" s="404"/>
      <c r="L218" s="404"/>
      <c r="M218" s="404"/>
      <c r="N218" s="404"/>
      <c r="O218" s="404"/>
      <c r="P218" s="404"/>
      <c r="Q218" s="405">
        <v>1.67</v>
      </c>
      <c r="R218" s="406"/>
      <c r="S218" s="406"/>
      <c r="T218" s="406"/>
      <c r="U218" s="406"/>
      <c r="V218" s="406"/>
      <c r="W218" s="406"/>
      <c r="X218" s="405">
        <v>0.9</v>
      </c>
      <c r="Y218" s="406"/>
      <c r="Z218" s="406"/>
      <c r="AA218" s="406"/>
      <c r="AB218" s="406"/>
      <c r="AC218" s="406"/>
      <c r="AD218" s="406"/>
      <c r="AE218" s="406"/>
      <c r="AF218" s="406"/>
      <c r="AG218" s="135"/>
      <c r="AH218" s="125"/>
      <c r="AI218" s="125"/>
      <c r="AJ218" s="125"/>
    </row>
    <row r="219" spans="1:51" s="124" customFormat="1" ht="12.75" x14ac:dyDescent="0.2">
      <c r="A219" s="134"/>
      <c r="B219" s="403" t="s">
        <v>174</v>
      </c>
      <c r="C219" s="404"/>
      <c r="D219" s="404"/>
      <c r="E219" s="404"/>
      <c r="F219" s="404"/>
      <c r="G219" s="404"/>
      <c r="H219" s="404"/>
      <c r="I219" s="404"/>
      <c r="J219" s="404"/>
      <c r="K219" s="404"/>
      <c r="L219" s="404"/>
      <c r="M219" s="404"/>
      <c r="N219" s="404"/>
      <c r="O219" s="404"/>
      <c r="P219" s="404"/>
      <c r="Q219" s="410" t="str">
        <f>IF(AND(AA109&lt;&gt;"Compact",AA110="Compact"),MIN(V195,V214)/Q218,"[NA]")</f>
        <v>[NA]</v>
      </c>
      <c r="R219" s="411"/>
      <c r="S219" s="411"/>
      <c r="T219" s="411"/>
      <c r="U219" s="411"/>
      <c r="V219" s="411"/>
      <c r="W219" s="411"/>
      <c r="X219" s="410" t="str">
        <f>IF(AND(V195="[NA]",V214="[NA]"),"[NA]",X218*MIN(V195,V214))</f>
        <v>[NA]</v>
      </c>
      <c r="Y219" s="411"/>
      <c r="Z219" s="411"/>
      <c r="AA219" s="411"/>
      <c r="AB219" s="411"/>
      <c r="AC219" s="411"/>
      <c r="AD219" s="411"/>
      <c r="AE219" s="411"/>
      <c r="AF219" s="411"/>
      <c r="AG219" s="135"/>
      <c r="AH219" s="125"/>
      <c r="AI219" s="64"/>
      <c r="AJ219" s="187"/>
      <c r="AK219" s="187"/>
      <c r="AL219" s="187"/>
      <c r="AM219" s="187"/>
      <c r="AN219" s="187"/>
      <c r="AO219" s="187"/>
      <c r="AP219" s="64"/>
      <c r="AQ219" s="187"/>
      <c r="AR219" s="187"/>
      <c r="AS219" s="187"/>
      <c r="AT219" s="187"/>
      <c r="AU219" s="187"/>
      <c r="AV219" s="187"/>
      <c r="AW219" s="187"/>
      <c r="AX219" s="187"/>
      <c r="AY219" s="187"/>
    </row>
    <row r="220" spans="1:51" s="124" customFormat="1" x14ac:dyDescent="0.2">
      <c r="A220" s="134"/>
      <c r="B220" s="125"/>
      <c r="C220" s="125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125"/>
      <c r="V220" s="125"/>
      <c r="W220" s="125"/>
      <c r="X220" s="125"/>
      <c r="Y220" s="125"/>
      <c r="Z220" s="125"/>
      <c r="AA220" s="125"/>
      <c r="AB220" s="125"/>
      <c r="AC220" s="125"/>
      <c r="AD220" s="125"/>
      <c r="AE220" s="125"/>
      <c r="AF220" s="125"/>
      <c r="AG220" s="135"/>
      <c r="AH220" s="125"/>
      <c r="AI220" s="125"/>
      <c r="AJ220" s="125"/>
    </row>
    <row r="221" spans="1:51" s="124" customFormat="1" x14ac:dyDescent="0.2">
      <c r="A221" s="134"/>
      <c r="B221" s="35" t="s">
        <v>195</v>
      </c>
      <c r="C221" s="125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125"/>
      <c r="V221" s="125"/>
      <c r="W221" s="125"/>
      <c r="X221" s="125"/>
      <c r="Y221" s="125"/>
      <c r="Z221" s="125"/>
      <c r="AA221" s="125"/>
      <c r="AB221" s="125"/>
      <c r="AC221" s="125"/>
      <c r="AD221" s="125"/>
      <c r="AE221" s="125"/>
      <c r="AF221" s="125"/>
      <c r="AG221" s="135"/>
      <c r="AH221" s="125"/>
      <c r="AI221" s="125"/>
      <c r="AJ221" s="125"/>
    </row>
    <row r="222" spans="1:51" s="124" customFormat="1" x14ac:dyDescent="0.2">
      <c r="A222" s="134"/>
      <c r="B222" s="35" t="s">
        <v>196</v>
      </c>
      <c r="C222" s="125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125"/>
      <c r="V222" s="125"/>
      <c r="W222" s="125"/>
      <c r="X222" s="125"/>
      <c r="Y222" s="125"/>
      <c r="Z222" s="125"/>
      <c r="AA222" s="125"/>
      <c r="AB222" s="125"/>
      <c r="AC222" s="125"/>
      <c r="AD222" s="125"/>
      <c r="AE222" s="125"/>
      <c r="AF222" s="125"/>
      <c r="AG222" s="135"/>
      <c r="AH222" s="125"/>
      <c r="AI222" s="125"/>
      <c r="AJ222" s="125"/>
    </row>
    <row r="223" spans="1:51" s="124" customFormat="1" ht="12" x14ac:dyDescent="0.2">
      <c r="A223" s="134"/>
      <c r="B223" s="125" t="s">
        <v>169</v>
      </c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125"/>
      <c r="O223" s="125"/>
      <c r="P223" s="125"/>
      <c r="Q223" s="66"/>
      <c r="R223" s="125" t="s">
        <v>67</v>
      </c>
      <c r="S223" s="66"/>
      <c r="T223" s="66"/>
      <c r="U223" s="67" t="s">
        <v>14</v>
      </c>
      <c r="V223" s="420">
        <f>MIN(V238*F241,V238*Fy*V234/10^6)</f>
        <v>25.824351801744495</v>
      </c>
      <c r="W223" s="421"/>
      <c r="X223" s="421"/>
      <c r="Y223" s="421"/>
      <c r="Z223" s="125"/>
      <c r="AA223" s="125"/>
      <c r="AB223" s="125"/>
      <c r="AC223" s="125"/>
      <c r="AD223" s="125"/>
      <c r="AE223" s="125"/>
      <c r="AF223" s="181" t="s">
        <v>219</v>
      </c>
      <c r="AG223" s="135"/>
      <c r="AH223" s="125"/>
      <c r="AI223" s="125"/>
      <c r="AJ223" s="125"/>
    </row>
    <row r="224" spans="1:51" s="124" customFormat="1" x14ac:dyDescent="0.2">
      <c r="A224" s="134"/>
      <c r="B224" s="125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125"/>
      <c r="O224" s="125"/>
      <c r="P224" s="125"/>
      <c r="Q224" s="66"/>
      <c r="R224" s="125"/>
      <c r="S224" s="66"/>
      <c r="T224" s="66"/>
      <c r="U224" s="67"/>
      <c r="V224" s="169"/>
      <c r="W224" s="170"/>
      <c r="X224" s="170"/>
      <c r="Y224" s="170"/>
      <c r="Z224" s="125"/>
      <c r="AA224" s="125"/>
      <c r="AB224" s="125"/>
      <c r="AC224" s="125"/>
      <c r="AD224" s="125"/>
      <c r="AE224" s="125"/>
      <c r="AF224" s="125"/>
      <c r="AG224" s="135"/>
      <c r="AH224" s="125"/>
      <c r="AI224" s="125"/>
      <c r="AJ224" s="125"/>
    </row>
    <row r="225" spans="1:38" s="124" customFormat="1" x14ac:dyDescent="0.2">
      <c r="A225" s="134"/>
      <c r="B225" s="35" t="s">
        <v>220</v>
      </c>
      <c r="C225" s="125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125"/>
      <c r="V225" s="125"/>
      <c r="W225" s="125"/>
      <c r="X225" s="125"/>
      <c r="Y225" s="125"/>
      <c r="Z225" s="125"/>
      <c r="AA225" s="125"/>
      <c r="AB225" s="125"/>
      <c r="AC225" s="125"/>
      <c r="AD225" s="125"/>
      <c r="AE225" s="125"/>
      <c r="AF225" s="125"/>
      <c r="AG225" s="135"/>
      <c r="AH225" s="125"/>
      <c r="AI225" s="125"/>
      <c r="AJ225" s="125"/>
    </row>
    <row r="226" spans="1:38" s="124" customFormat="1" ht="12" x14ac:dyDescent="0.2">
      <c r="A226" s="134"/>
      <c r="B226" s="125" t="s">
        <v>169</v>
      </c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125"/>
      <c r="O226" s="125"/>
      <c r="P226" s="125"/>
      <c r="Q226" s="66"/>
      <c r="R226" s="125" t="s">
        <v>67</v>
      </c>
      <c r="S226" s="66"/>
      <c r="T226" s="66"/>
      <c r="U226" s="67" t="s">
        <v>14</v>
      </c>
      <c r="V226" s="420" t="str">
        <f>IF(X75&lt;=F240,"[NA]",IF(X75&lt;=V240,MIN(V202*(V238*F241-(V238*F241-V237*V234/10^6)*(X75-F240)/(V240-F240)),V238*F241),MIN(V227*V234/10^6,V238*F241)))</f>
        <v>[NA]</v>
      </c>
      <c r="W226" s="421"/>
      <c r="X226" s="421"/>
      <c r="Y226" s="421"/>
      <c r="Z226" s="125"/>
      <c r="AA226" s="125"/>
      <c r="AB226" s="125"/>
      <c r="AC226" s="125"/>
      <c r="AD226" s="125"/>
      <c r="AE226" s="125"/>
      <c r="AF226" s="181" t="str">
        <f>IF(X75&lt;=F240,"[F4.2a]",IF(X75&lt;=V240,"[F4-2]","[F4-3]"))</f>
        <v>[F4.2a]</v>
      </c>
      <c r="AG226" s="135"/>
      <c r="AH226" s="125"/>
      <c r="AI226" s="186"/>
      <c r="AJ226" s="170"/>
      <c r="AK226" s="170"/>
      <c r="AL226" s="170"/>
    </row>
    <row r="227" spans="1:38" s="124" customFormat="1" ht="12" x14ac:dyDescent="0.2">
      <c r="A227" s="134"/>
      <c r="B227" s="180" t="s">
        <v>124</v>
      </c>
      <c r="C227" s="125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80" t="s">
        <v>70</v>
      </c>
      <c r="S227" s="125"/>
      <c r="T227" s="125"/>
      <c r="U227" s="67" t="s">
        <v>14</v>
      </c>
      <c r="V227" s="418">
        <f>(V202*PI()^2*E/(X75*1000/V230)^2)*SQRT(1+0.078*(F239/(V234*F234))*(X75*1000/V230)^2)</f>
        <v>6605.6806822221461</v>
      </c>
      <c r="W227" s="418"/>
      <c r="X227" s="418"/>
      <c r="Y227" s="418"/>
      <c r="Z227" s="125"/>
      <c r="AA227" s="125"/>
      <c r="AB227" s="125"/>
      <c r="AC227" s="125"/>
      <c r="AD227" s="125"/>
      <c r="AE227" s="125"/>
      <c r="AF227" s="181" t="s">
        <v>218</v>
      </c>
      <c r="AG227" s="135"/>
      <c r="AH227" s="125"/>
      <c r="AI227" s="125"/>
      <c r="AJ227" s="125"/>
    </row>
    <row r="228" spans="1:38" s="124" customFormat="1" x14ac:dyDescent="0.2">
      <c r="A228" s="134"/>
      <c r="B228" s="125"/>
      <c r="C228" s="125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80"/>
      <c r="S228" s="125"/>
      <c r="T228" s="125"/>
      <c r="U228" s="67"/>
      <c r="V228" s="185"/>
      <c r="W228" s="185"/>
      <c r="X228" s="185"/>
      <c r="Y228" s="185"/>
      <c r="Z228" s="125"/>
      <c r="AA228" s="125"/>
      <c r="AB228" s="125"/>
      <c r="AC228" s="125"/>
      <c r="AD228" s="125"/>
      <c r="AE228" s="125"/>
      <c r="AF228" s="125"/>
      <c r="AG228" s="135"/>
      <c r="AH228" s="125"/>
      <c r="AI228" s="125"/>
      <c r="AJ228" s="125"/>
    </row>
    <row r="229" spans="1:38" s="124" customFormat="1" x14ac:dyDescent="0.2">
      <c r="A229" s="134"/>
      <c r="B229" s="159" t="s">
        <v>199</v>
      </c>
      <c r="C229" s="125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  <c r="AA229" s="125"/>
      <c r="AB229" s="125"/>
      <c r="AC229" s="125"/>
      <c r="AD229" s="125"/>
      <c r="AE229" s="125"/>
      <c r="AF229" s="125"/>
      <c r="AG229" s="135"/>
      <c r="AH229" s="125"/>
      <c r="AI229" s="125"/>
      <c r="AJ229" s="125"/>
    </row>
    <row r="230" spans="1:38" s="124" customFormat="1" ht="12" x14ac:dyDescent="0.2">
      <c r="A230" s="134"/>
      <c r="B230" s="180" t="s">
        <v>200</v>
      </c>
      <c r="C230" s="125"/>
      <c r="D230" s="125"/>
      <c r="E230" s="67" t="s">
        <v>14</v>
      </c>
      <c r="F230" s="422">
        <f>(F231*tw)/(F232*F233)</f>
        <v>0.59845540406931075</v>
      </c>
      <c r="G230" s="422"/>
      <c r="H230" s="422"/>
      <c r="I230" s="422"/>
      <c r="J230" s="125"/>
      <c r="K230" s="125"/>
      <c r="L230" s="125"/>
      <c r="M230" s="125"/>
      <c r="N230" s="125"/>
      <c r="O230" s="125"/>
      <c r="P230" s="181" t="s">
        <v>201</v>
      </c>
      <c r="Q230" s="125"/>
      <c r="R230" s="180" t="s">
        <v>204</v>
      </c>
      <c r="S230" s="125"/>
      <c r="T230" s="125"/>
      <c r="U230" s="67" t="s">
        <v>14</v>
      </c>
      <c r="V230" s="416">
        <f>F232/SQRT(12*(F234/F235+(1/6)*F230*F236^2/(F234*F235)))</f>
        <v>30.135713486774794</v>
      </c>
      <c r="W230" s="416"/>
      <c r="X230" s="416"/>
      <c r="Y230" s="416"/>
      <c r="Z230" s="125"/>
      <c r="AA230" s="125"/>
      <c r="AB230" s="125"/>
      <c r="AC230" s="125"/>
      <c r="AD230" s="125"/>
      <c r="AE230" s="125"/>
      <c r="AF230" s="181" t="s">
        <v>205</v>
      </c>
      <c r="AG230" s="135"/>
      <c r="AH230" s="125"/>
      <c r="AI230" s="125"/>
      <c r="AJ230" s="125"/>
    </row>
    <row r="231" spans="1:38" s="124" customFormat="1" ht="12" x14ac:dyDescent="0.2">
      <c r="A231" s="134"/>
      <c r="B231" s="180" t="s">
        <v>198</v>
      </c>
      <c r="C231" s="125"/>
      <c r="D231" s="125"/>
      <c r="E231" s="67" t="s">
        <v>14</v>
      </c>
      <c r="F231" s="416">
        <f>W17</f>
        <v>76.399999618530273</v>
      </c>
      <c r="G231" s="416"/>
      <c r="H231" s="416"/>
      <c r="I231" s="416"/>
      <c r="J231" s="125"/>
      <c r="K231" s="125"/>
      <c r="L231" s="125"/>
      <c r="M231" s="125"/>
      <c r="N231" s="125"/>
      <c r="O231" s="125"/>
      <c r="P231" s="125"/>
      <c r="Q231" s="125"/>
      <c r="R231" s="182" t="s">
        <v>206</v>
      </c>
      <c r="S231" s="125"/>
      <c r="T231" s="125"/>
      <c r="U231" s="67" t="s">
        <v>14</v>
      </c>
      <c r="V231" s="422">
        <f>F231/tw</f>
        <v>10.760563471089799</v>
      </c>
      <c r="W231" s="422"/>
      <c r="X231" s="422"/>
      <c r="Y231" s="422"/>
      <c r="Z231" s="125"/>
      <c r="AA231" s="125"/>
      <c r="AB231" s="125"/>
      <c r="AC231" s="125"/>
      <c r="AD231" s="125"/>
      <c r="AE231" s="125"/>
      <c r="AF231" s="125"/>
      <c r="AG231" s="135"/>
      <c r="AH231" s="125"/>
      <c r="AI231" s="125"/>
      <c r="AJ231" s="125"/>
    </row>
    <row r="232" spans="1:38" s="124" customFormat="1" ht="12" x14ac:dyDescent="0.2">
      <c r="A232" s="134"/>
      <c r="B232" s="180" t="s">
        <v>202</v>
      </c>
      <c r="C232" s="125"/>
      <c r="D232" s="125"/>
      <c r="E232" s="67" t="s">
        <v>14</v>
      </c>
      <c r="F232" s="416">
        <f>bf</f>
        <v>103</v>
      </c>
      <c r="G232" s="416"/>
      <c r="H232" s="416"/>
      <c r="I232" s="416"/>
      <c r="J232" s="125"/>
      <c r="K232" s="125"/>
      <c r="L232" s="125"/>
      <c r="M232" s="125"/>
      <c r="N232" s="125"/>
      <c r="O232" s="125"/>
      <c r="P232" s="125"/>
      <c r="Q232" s="125"/>
      <c r="R232" s="182" t="s">
        <v>207</v>
      </c>
      <c r="S232" s="125"/>
      <c r="T232" s="125"/>
      <c r="U232" s="67" t="s">
        <v>14</v>
      </c>
      <c r="V232" s="422">
        <f>R110</f>
        <v>106.34885989045675</v>
      </c>
      <c r="W232" s="422"/>
      <c r="X232" s="422"/>
      <c r="Y232" s="422"/>
      <c r="Z232" s="125"/>
      <c r="AA232" s="125"/>
      <c r="AB232" s="125"/>
      <c r="AC232" s="125"/>
      <c r="AD232" s="125"/>
      <c r="AE232" s="125"/>
      <c r="AF232" s="125"/>
      <c r="AG232" s="135"/>
      <c r="AH232" s="125"/>
      <c r="AI232" s="125"/>
      <c r="AJ232" s="125"/>
    </row>
    <row r="233" spans="1:38" s="124" customFormat="1" ht="12" x14ac:dyDescent="0.2">
      <c r="A233" s="134"/>
      <c r="B233" s="180" t="s">
        <v>203</v>
      </c>
      <c r="C233" s="125"/>
      <c r="D233" s="125"/>
      <c r="E233" s="67" t="s">
        <v>14</v>
      </c>
      <c r="F233" s="416">
        <f>tf</f>
        <v>8.8000001907348633</v>
      </c>
      <c r="G233" s="416"/>
      <c r="H233" s="416"/>
      <c r="I233" s="416"/>
      <c r="J233" s="125"/>
      <c r="K233" s="125"/>
      <c r="L233" s="125"/>
      <c r="M233" s="125"/>
      <c r="N233" s="125"/>
      <c r="O233" s="125"/>
      <c r="P233" s="125"/>
      <c r="Q233" s="125"/>
      <c r="R233" s="182" t="s">
        <v>208</v>
      </c>
      <c r="S233" s="125"/>
      <c r="T233" s="125"/>
      <c r="U233" s="67" t="s">
        <v>14</v>
      </c>
      <c r="V233" s="422">
        <f>V110</f>
        <v>161.22034611053286</v>
      </c>
      <c r="W233" s="422"/>
      <c r="X233" s="422"/>
      <c r="Y233" s="422"/>
      <c r="Z233" s="125"/>
      <c r="AA233" s="125"/>
      <c r="AB233" s="125"/>
      <c r="AC233" s="125"/>
      <c r="AD233" s="125"/>
      <c r="AE233" s="125"/>
      <c r="AF233" s="125"/>
      <c r="AG233" s="135"/>
      <c r="AH233" s="125"/>
      <c r="AI233" s="125"/>
      <c r="AJ233" s="125"/>
    </row>
    <row r="234" spans="1:38" s="124" customFormat="1" ht="12" x14ac:dyDescent="0.2">
      <c r="A234" s="134"/>
      <c r="B234" s="180" t="s">
        <v>183</v>
      </c>
      <c r="C234" s="125"/>
      <c r="D234" s="125"/>
      <c r="E234" s="67" t="s">
        <v>14</v>
      </c>
      <c r="F234" s="416">
        <f>(h-tf)</f>
        <v>97.199999809265137</v>
      </c>
      <c r="G234" s="416"/>
      <c r="H234" s="416"/>
      <c r="I234" s="416"/>
      <c r="J234" s="125"/>
      <c r="K234" s="125"/>
      <c r="L234" s="125"/>
      <c r="M234" s="125"/>
      <c r="N234" s="125"/>
      <c r="O234" s="125"/>
      <c r="P234" s="125"/>
      <c r="Q234" s="125"/>
      <c r="R234" s="180" t="s">
        <v>210</v>
      </c>
      <c r="S234" s="125"/>
      <c r="T234" s="125"/>
      <c r="U234" s="67" t="s">
        <v>14</v>
      </c>
      <c r="V234" s="414">
        <f>W9</f>
        <v>89792.328693125004</v>
      </c>
      <c r="W234" s="414"/>
      <c r="X234" s="414"/>
      <c r="Y234" s="414"/>
      <c r="Z234" s="180" t="s">
        <v>62</v>
      </c>
      <c r="AA234" s="125"/>
      <c r="AB234" s="125"/>
      <c r="AC234" s="125"/>
      <c r="AD234" s="125"/>
      <c r="AE234" s="125"/>
      <c r="AF234" s="125"/>
      <c r="AG234" s="135"/>
      <c r="AH234" s="125"/>
      <c r="AI234" s="125"/>
      <c r="AJ234" s="125"/>
    </row>
    <row r="235" spans="1:38" s="124" customFormat="1" ht="12" x14ac:dyDescent="0.2">
      <c r="A235" s="134"/>
      <c r="B235" s="180" t="s">
        <v>12</v>
      </c>
      <c r="C235" s="125"/>
      <c r="D235" s="125"/>
      <c r="E235" s="67" t="s">
        <v>14</v>
      </c>
      <c r="F235" s="416">
        <f>h</f>
        <v>106</v>
      </c>
      <c r="G235" s="416"/>
      <c r="H235" s="416"/>
      <c r="I235" s="416"/>
      <c r="J235" s="125"/>
      <c r="K235" s="125"/>
      <c r="L235" s="125"/>
      <c r="M235" s="125"/>
      <c r="N235" s="125"/>
      <c r="O235" s="125"/>
      <c r="P235" s="125"/>
      <c r="Q235" s="125"/>
      <c r="R235" s="180" t="s">
        <v>211</v>
      </c>
      <c r="S235" s="125"/>
      <c r="T235" s="125"/>
      <c r="U235" s="67" t="s">
        <v>14</v>
      </c>
      <c r="V235" s="414">
        <f>W9</f>
        <v>89792.328693125004</v>
      </c>
      <c r="W235" s="414"/>
      <c r="X235" s="414"/>
      <c r="Y235" s="414"/>
      <c r="Z235" s="180" t="s">
        <v>62</v>
      </c>
      <c r="AA235" s="125"/>
      <c r="AB235" s="125"/>
      <c r="AC235" s="125"/>
      <c r="AD235" s="125"/>
      <c r="AE235" s="125"/>
      <c r="AF235" s="125"/>
      <c r="AG235" s="135"/>
      <c r="AH235" s="125"/>
      <c r="AI235" s="125"/>
      <c r="AJ235" s="125"/>
    </row>
    <row r="236" spans="1:38" s="124" customFormat="1" ht="12" x14ac:dyDescent="0.2">
      <c r="A236" s="134"/>
      <c r="B236" s="180" t="s">
        <v>86</v>
      </c>
      <c r="C236" s="125"/>
      <c r="D236" s="125"/>
      <c r="E236" s="67" t="s">
        <v>14</v>
      </c>
      <c r="F236" s="416">
        <f>(h-2*k)</f>
        <v>76.399999618530273</v>
      </c>
      <c r="G236" s="416"/>
      <c r="H236" s="416"/>
      <c r="I236" s="416"/>
      <c r="J236" s="125"/>
      <c r="K236" s="125"/>
      <c r="L236" s="125"/>
      <c r="M236" s="125"/>
      <c r="N236" s="125"/>
      <c r="O236" s="125"/>
      <c r="P236" s="125"/>
      <c r="Q236" s="125"/>
      <c r="R236" s="180" t="s">
        <v>170</v>
      </c>
      <c r="S236" s="125"/>
      <c r="T236" s="125"/>
      <c r="U236" s="67" t="s">
        <v>14</v>
      </c>
      <c r="V236" s="420">
        <f>MIN(Fy*W11,1.6*Fy*V234)/10^6</f>
        <v>25.824351801744498</v>
      </c>
      <c r="W236" s="420"/>
      <c r="X236" s="420"/>
      <c r="Y236" s="420"/>
      <c r="Z236" s="125"/>
      <c r="AA236" s="125"/>
      <c r="AB236" s="125"/>
      <c r="AC236" s="125"/>
      <c r="AD236" s="125"/>
      <c r="AE236" s="125"/>
      <c r="AF236" s="125"/>
      <c r="AG236" s="135"/>
      <c r="AH236" s="125"/>
      <c r="AI236" s="125"/>
      <c r="AJ236" s="125"/>
    </row>
    <row r="237" spans="1:38" s="124" customFormat="1" ht="12" x14ac:dyDescent="0.2">
      <c r="A237" s="134"/>
      <c r="B237" s="180" t="s">
        <v>213</v>
      </c>
      <c r="C237" s="125"/>
      <c r="D237" s="125"/>
      <c r="E237" s="67" t="s">
        <v>14</v>
      </c>
      <c r="F237" s="433">
        <f>(F233*F232^3/12)</f>
        <v>801333.15070176125</v>
      </c>
      <c r="G237" s="433"/>
      <c r="H237" s="433"/>
      <c r="I237" s="433"/>
      <c r="J237" s="180" t="s">
        <v>84</v>
      </c>
      <c r="K237" s="125"/>
      <c r="L237" s="125"/>
      <c r="M237" s="125"/>
      <c r="N237" s="125"/>
      <c r="O237" s="125"/>
      <c r="P237" s="125"/>
      <c r="Q237" s="125"/>
      <c r="R237" s="180" t="s">
        <v>214</v>
      </c>
      <c r="S237" s="125"/>
      <c r="T237" s="125"/>
      <c r="U237" s="67" t="s">
        <v>14</v>
      </c>
      <c r="V237" s="418">
        <f>IF(V235/V234&gt;=0.7,0.7*Fy,MAX(Fy*V235/V234,0.5*Fy))</f>
        <v>175</v>
      </c>
      <c r="W237" s="418"/>
      <c r="X237" s="418"/>
      <c r="Y237" s="418"/>
      <c r="Z237" s="125"/>
      <c r="AA237" s="125"/>
      <c r="AB237" s="125"/>
      <c r="AC237" s="125"/>
      <c r="AD237" s="125"/>
      <c r="AE237" s="125"/>
      <c r="AF237" s="181" t="str">
        <f>IF(V235/V234&gt;=0.7,"[F4-6a]","[F4-6b]")</f>
        <v>[F4-6a]</v>
      </c>
      <c r="AG237" s="135"/>
      <c r="AH237" s="125"/>
      <c r="AI237" s="183"/>
      <c r="AJ237" s="183"/>
      <c r="AK237" s="183"/>
      <c r="AL237" s="183"/>
    </row>
    <row r="238" spans="1:38" s="124" customFormat="1" ht="12" x14ac:dyDescent="0.2">
      <c r="A238" s="134"/>
      <c r="B238" s="180" t="s">
        <v>94</v>
      </c>
      <c r="C238" s="125"/>
      <c r="D238" s="125"/>
      <c r="E238" s="67" t="s">
        <v>14</v>
      </c>
      <c r="F238" s="433">
        <f>I16</f>
        <v>1606081.0365401099</v>
      </c>
      <c r="G238" s="433"/>
      <c r="H238" s="433"/>
      <c r="I238" s="433"/>
      <c r="J238" s="180" t="s">
        <v>84</v>
      </c>
      <c r="K238" s="125"/>
      <c r="L238" s="125"/>
      <c r="M238" s="125"/>
      <c r="N238" s="125"/>
      <c r="O238" s="125"/>
      <c r="P238" s="125"/>
      <c r="Q238" s="125"/>
      <c r="R238" s="180" t="s">
        <v>215</v>
      </c>
      <c r="S238" s="125"/>
      <c r="T238" s="125"/>
      <c r="U238" s="67" t="s">
        <v>14</v>
      </c>
      <c r="V238" s="422">
        <f>IF(F237/F238&gt;0.23,IF(V231&lt;=V232,V236/F241,MIN(((V236/F241)-(V236/F241-1)*(V231-V232)/(V233-V232)),V236/F241)),1)</f>
        <v>1.1504034777849235</v>
      </c>
      <c r="W238" s="422"/>
      <c r="X238" s="422"/>
      <c r="Y238" s="422"/>
      <c r="Z238" s="125"/>
      <c r="AA238" s="125"/>
      <c r="AB238" s="125"/>
      <c r="AC238" s="125"/>
      <c r="AD238" s="125"/>
      <c r="AE238" s="125"/>
      <c r="AF238" s="181" t="str">
        <f>IF(F237/F238&gt;0.23,IF(V231&lt;=V232,"[F4-9a]","[F4-9b]"),"[F4-10]")</f>
        <v>[F4-9a]</v>
      </c>
      <c r="AG238" s="135"/>
      <c r="AH238" s="125"/>
      <c r="AI238" s="125"/>
      <c r="AJ238" s="125"/>
    </row>
    <row r="239" spans="1:38" s="124" customFormat="1" ht="12" x14ac:dyDescent="0.2">
      <c r="A239" s="134"/>
      <c r="B239" s="180" t="s">
        <v>97</v>
      </c>
      <c r="C239" s="125"/>
      <c r="D239" s="125"/>
      <c r="E239" s="67" t="s">
        <v>14</v>
      </c>
      <c r="F239" s="433">
        <f>IF(F237/F238&lt;=0.23,0,W15)</f>
        <v>57340.857372233397</v>
      </c>
      <c r="G239" s="433"/>
      <c r="H239" s="433"/>
      <c r="I239" s="433"/>
      <c r="J239" s="180" t="s">
        <v>84</v>
      </c>
      <c r="K239" s="125"/>
      <c r="L239" s="125"/>
      <c r="M239" s="125"/>
      <c r="N239" s="125"/>
      <c r="O239" s="125"/>
      <c r="P239" s="125"/>
      <c r="Q239" s="125"/>
      <c r="R239" s="180" t="s">
        <v>225</v>
      </c>
      <c r="S239" s="125"/>
      <c r="T239" s="125"/>
      <c r="U239" s="67" t="s">
        <v>14</v>
      </c>
      <c r="V239" s="422" t="str">
        <f>IF(V235&lt;V234,IF(V231&lt;=V232,V236/V241,MIN(((V236/V241)-(V236/V241-1)*(V231-V232)/(V233-V232)),V236/V241)),"[NA]")</f>
        <v>[NA]</v>
      </c>
      <c r="W239" s="422"/>
      <c r="X239" s="422"/>
      <c r="Y239" s="422"/>
      <c r="Z239" s="125"/>
      <c r="AA239" s="125"/>
      <c r="AB239" s="125"/>
      <c r="AC239" s="125"/>
      <c r="AD239" s="125"/>
      <c r="AE239" s="125"/>
      <c r="AF239" s="181" t="str">
        <f>IF(V235&lt;V234,IF(V231&lt;=V232,"[F4-16a]","[F4-16b]"),"[F4.4a]")</f>
        <v>[F4.4a]</v>
      </c>
      <c r="AG239" s="135"/>
      <c r="AH239" s="125"/>
      <c r="AI239" s="184"/>
      <c r="AJ239" s="183"/>
      <c r="AK239" s="183"/>
      <c r="AL239" s="183"/>
    </row>
    <row r="240" spans="1:38" s="124" customFormat="1" ht="12" x14ac:dyDescent="0.2">
      <c r="A240" s="134"/>
      <c r="B240" s="180" t="s">
        <v>177</v>
      </c>
      <c r="C240" s="125"/>
      <c r="D240" s="125"/>
      <c r="E240" s="67" t="s">
        <v>14</v>
      </c>
      <c r="F240" s="419">
        <f>1.1*V230*SQRT(E/Fy)/1000</f>
        <v>0.93760336394530774</v>
      </c>
      <c r="G240" s="419"/>
      <c r="H240" s="419"/>
      <c r="I240" s="419"/>
      <c r="J240" s="125"/>
      <c r="K240" s="125"/>
      <c r="L240" s="125"/>
      <c r="M240" s="125"/>
      <c r="N240" s="125"/>
      <c r="O240" s="125"/>
      <c r="P240" s="181" t="s">
        <v>216</v>
      </c>
      <c r="Q240" s="125"/>
      <c r="R240" s="180" t="s">
        <v>178</v>
      </c>
      <c r="S240" s="125"/>
      <c r="T240" s="125"/>
      <c r="U240" s="67" t="s">
        <v>14</v>
      </c>
      <c r="V240" s="419">
        <f>(1.95*V230*(E/V237)*SQRT((F239/(V234*F234))+SQRT((F239/(V234*F234))^2+6.76*(V237/E)^2)))/1000</f>
        <v>7.8097502806918166</v>
      </c>
      <c r="W240" s="419"/>
      <c r="X240" s="419"/>
      <c r="Y240" s="419"/>
      <c r="Z240" s="125"/>
      <c r="AA240" s="125"/>
      <c r="AB240" s="125"/>
      <c r="AC240" s="125"/>
      <c r="AD240" s="125"/>
      <c r="AE240" s="125"/>
      <c r="AF240" s="181" t="s">
        <v>217</v>
      </c>
      <c r="AG240" s="135"/>
      <c r="AH240" s="125"/>
      <c r="AI240" s="125"/>
      <c r="AJ240" s="125"/>
    </row>
    <row r="241" spans="1:36" s="124" customFormat="1" ht="12" x14ac:dyDescent="0.2">
      <c r="A241" s="134"/>
      <c r="B241" s="180" t="s">
        <v>212</v>
      </c>
      <c r="C241" s="125"/>
      <c r="D241" s="125"/>
      <c r="E241" s="67" t="s">
        <v>14</v>
      </c>
      <c r="F241" s="420">
        <f>(Fy*V235)/10^6</f>
        <v>22.448082173281254</v>
      </c>
      <c r="G241" s="420"/>
      <c r="H241" s="420"/>
      <c r="I241" s="420"/>
      <c r="J241" s="125"/>
      <c r="K241" s="125"/>
      <c r="L241" s="125"/>
      <c r="M241" s="125"/>
      <c r="N241" s="125"/>
      <c r="O241" s="125"/>
      <c r="P241" s="181" t="s">
        <v>205</v>
      </c>
      <c r="Q241" s="125"/>
      <c r="R241" s="180" t="s">
        <v>224</v>
      </c>
      <c r="S241" s="125"/>
      <c r="T241" s="125"/>
      <c r="U241" s="67" t="s">
        <v>14</v>
      </c>
      <c r="V241" s="420">
        <f>(Fy*V235)/10^6</f>
        <v>22.448082173281254</v>
      </c>
      <c r="W241" s="420"/>
      <c r="X241" s="420"/>
      <c r="Y241" s="420"/>
      <c r="Z241" s="125"/>
      <c r="AA241" s="125"/>
      <c r="AB241" s="125"/>
      <c r="AC241" s="125"/>
      <c r="AD241" s="125"/>
      <c r="AE241" s="125"/>
      <c r="AF241" s="181"/>
      <c r="AG241" s="135"/>
      <c r="AH241" s="125"/>
      <c r="AI241" s="125"/>
      <c r="AJ241" s="125"/>
    </row>
    <row r="242" spans="1:36" s="124" customFormat="1" x14ac:dyDescent="0.2">
      <c r="A242" s="134"/>
      <c r="B242" s="125"/>
      <c r="C242" s="125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81"/>
      <c r="Q242" s="125"/>
      <c r="R242" s="180"/>
      <c r="S242" s="125"/>
      <c r="T242" s="125"/>
      <c r="U242" s="67"/>
      <c r="V242" s="171"/>
      <c r="W242" s="171"/>
      <c r="X242" s="171"/>
      <c r="Y242" s="171"/>
      <c r="Z242" s="125"/>
      <c r="AA242" s="125"/>
      <c r="AB242" s="125"/>
      <c r="AC242" s="125"/>
      <c r="AD242" s="125"/>
      <c r="AE242" s="125"/>
      <c r="AF242" s="181"/>
      <c r="AG242" s="135"/>
      <c r="AH242" s="125"/>
      <c r="AI242" s="125"/>
      <c r="AJ242" s="125"/>
    </row>
    <row r="243" spans="1:36" s="124" customFormat="1" x14ac:dyDescent="0.2">
      <c r="A243" s="134"/>
      <c r="B243" s="180"/>
      <c r="C243" s="125"/>
      <c r="D243" s="125"/>
      <c r="E243" s="67"/>
      <c r="F243" s="171"/>
      <c r="G243" s="171"/>
      <c r="H243" s="171"/>
      <c r="I243" s="171"/>
      <c r="J243" s="125"/>
      <c r="K243" s="125"/>
      <c r="L243" s="125"/>
      <c r="M243" s="125"/>
      <c r="N243" s="125"/>
      <c r="O243" s="125"/>
      <c r="P243" s="181"/>
      <c r="Q243" s="125"/>
      <c r="R243" s="180"/>
      <c r="S243" s="125"/>
      <c r="T243" s="125"/>
      <c r="U243" s="67"/>
      <c r="V243" s="171"/>
      <c r="W243" s="171"/>
      <c r="X243" s="171"/>
      <c r="Y243" s="171"/>
      <c r="Z243" s="125"/>
      <c r="AA243" s="125"/>
      <c r="AB243" s="125"/>
      <c r="AC243" s="125"/>
      <c r="AD243" s="125"/>
      <c r="AE243" s="125"/>
      <c r="AF243" s="181"/>
      <c r="AG243" s="135"/>
      <c r="AH243" s="125"/>
      <c r="AI243" s="125"/>
      <c r="AJ243" s="125"/>
    </row>
    <row r="244" spans="1:36" s="124" customFormat="1" x14ac:dyDescent="0.2">
      <c r="A244" s="134"/>
      <c r="B244" s="180"/>
      <c r="C244" s="125"/>
      <c r="D244" s="125"/>
      <c r="E244" s="67"/>
      <c r="F244" s="171"/>
      <c r="G244" s="171"/>
      <c r="H244" s="171"/>
      <c r="I244" s="171"/>
      <c r="J244" s="125"/>
      <c r="K244" s="125"/>
      <c r="L244" s="125"/>
      <c r="M244" s="125"/>
      <c r="N244" s="125"/>
      <c r="O244" s="125"/>
      <c r="P244" s="181"/>
      <c r="Q244" s="125"/>
      <c r="R244" s="180"/>
      <c r="S244" s="125"/>
      <c r="T244" s="125"/>
      <c r="U244" s="67"/>
      <c r="V244" s="171"/>
      <c r="W244" s="171"/>
      <c r="X244" s="171"/>
      <c r="Y244" s="171"/>
      <c r="Z244" s="125"/>
      <c r="AA244" s="125"/>
      <c r="AB244" s="125"/>
      <c r="AC244" s="125"/>
      <c r="AD244" s="125"/>
      <c r="AE244" s="125"/>
      <c r="AF244" s="181"/>
      <c r="AG244" s="135"/>
      <c r="AH244" s="125"/>
      <c r="AI244" s="125"/>
      <c r="AJ244" s="125"/>
    </row>
    <row r="245" spans="1:36" s="124" customFormat="1" x14ac:dyDescent="0.2">
      <c r="A245" s="134"/>
      <c r="B245" s="180"/>
      <c r="C245" s="125"/>
      <c r="D245" s="125"/>
      <c r="E245" s="67"/>
      <c r="F245" s="171"/>
      <c r="G245" s="171"/>
      <c r="H245" s="171"/>
      <c r="I245" s="171"/>
      <c r="J245" s="125"/>
      <c r="K245" s="125"/>
      <c r="L245" s="125"/>
      <c r="M245" s="125"/>
      <c r="N245" s="125"/>
      <c r="O245" s="125"/>
      <c r="P245" s="181"/>
      <c r="Q245" s="125"/>
      <c r="R245" s="180"/>
      <c r="S245" s="125"/>
      <c r="T245" s="125"/>
      <c r="U245" s="67"/>
      <c r="V245" s="171"/>
      <c r="W245" s="171"/>
      <c r="X245" s="171"/>
      <c r="Y245" s="171"/>
      <c r="Z245" s="125"/>
      <c r="AA245" s="125"/>
      <c r="AB245" s="125"/>
      <c r="AC245" s="125"/>
      <c r="AD245" s="125"/>
      <c r="AE245" s="125"/>
      <c r="AF245" s="181"/>
      <c r="AG245" s="135"/>
      <c r="AH245" s="125"/>
      <c r="AI245" s="125"/>
      <c r="AJ245" s="125"/>
    </row>
    <row r="246" spans="1:36" s="124" customFormat="1" x14ac:dyDescent="0.2">
      <c r="A246" s="134"/>
      <c r="B246" s="180"/>
      <c r="C246" s="125"/>
      <c r="D246" s="125"/>
      <c r="E246" s="67"/>
      <c r="F246" s="171"/>
      <c r="G246" s="171"/>
      <c r="H246" s="171"/>
      <c r="I246" s="171"/>
      <c r="J246" s="125"/>
      <c r="K246" s="125"/>
      <c r="L246" s="125"/>
      <c r="M246" s="125"/>
      <c r="N246" s="125"/>
      <c r="O246" s="125"/>
      <c r="P246" s="181"/>
      <c r="Q246" s="125"/>
      <c r="R246" s="180"/>
      <c r="S246" s="125"/>
      <c r="T246" s="125"/>
      <c r="U246" s="67"/>
      <c r="V246" s="171"/>
      <c r="W246" s="171"/>
      <c r="X246" s="171"/>
      <c r="Y246" s="171"/>
      <c r="Z246" s="125"/>
      <c r="AA246" s="125"/>
      <c r="AB246" s="125"/>
      <c r="AC246" s="125"/>
      <c r="AD246" s="125"/>
      <c r="AE246" s="125"/>
      <c r="AF246" s="181"/>
      <c r="AG246" s="135"/>
      <c r="AH246" s="125"/>
      <c r="AI246" s="125"/>
      <c r="AJ246" s="125"/>
    </row>
    <row r="247" spans="1:36" s="124" customFormat="1" x14ac:dyDescent="0.2">
      <c r="A247" s="147"/>
      <c r="B247" s="189"/>
      <c r="C247" s="148"/>
      <c r="D247" s="148"/>
      <c r="E247" s="75"/>
      <c r="F247" s="190"/>
      <c r="G247" s="190"/>
      <c r="H247" s="190"/>
      <c r="I247" s="190"/>
      <c r="J247" s="148"/>
      <c r="K247" s="148"/>
      <c r="L247" s="148"/>
      <c r="M247" s="148"/>
      <c r="N247" s="148"/>
      <c r="O247" s="148"/>
      <c r="P247" s="191"/>
      <c r="Q247" s="148"/>
      <c r="R247" s="189"/>
      <c r="S247" s="148"/>
      <c r="T247" s="148"/>
      <c r="U247" s="75"/>
      <c r="V247" s="190"/>
      <c r="W247" s="190"/>
      <c r="X247" s="190"/>
      <c r="Y247" s="190"/>
      <c r="Z247" s="148"/>
      <c r="AA247" s="148"/>
      <c r="AB247" s="148"/>
      <c r="AC247" s="148"/>
      <c r="AD247" s="148"/>
      <c r="AE247" s="148"/>
      <c r="AF247" s="191"/>
      <c r="AG247" s="149"/>
      <c r="AH247" s="125"/>
      <c r="AI247" s="125"/>
      <c r="AJ247" s="125"/>
    </row>
    <row r="248" spans="1:36" s="124" customFormat="1" x14ac:dyDescent="0.2">
      <c r="A248" s="176"/>
      <c r="B248" s="192"/>
      <c r="C248" s="193"/>
      <c r="D248" s="193"/>
      <c r="E248" s="194"/>
      <c r="F248" s="195"/>
      <c r="G248" s="195"/>
      <c r="H248" s="195"/>
      <c r="I248" s="195"/>
      <c r="J248" s="193"/>
      <c r="K248" s="193"/>
      <c r="L248" s="193"/>
      <c r="M248" s="193"/>
      <c r="N248" s="193"/>
      <c r="O248" s="193"/>
      <c r="P248" s="196"/>
      <c r="Q248" s="193"/>
      <c r="R248" s="192"/>
      <c r="S248" s="193"/>
      <c r="T248" s="193"/>
      <c r="U248" s="194"/>
      <c r="V248" s="195"/>
      <c r="W248" s="195"/>
      <c r="X248" s="195"/>
      <c r="Y248" s="195"/>
      <c r="Z248" s="193"/>
      <c r="AA248" s="193"/>
      <c r="AB248" s="193"/>
      <c r="AC248" s="193"/>
      <c r="AD248" s="193"/>
      <c r="AE248" s="193"/>
      <c r="AF248" s="196"/>
      <c r="AG248" s="150"/>
      <c r="AH248" s="125"/>
      <c r="AI248" s="125"/>
      <c r="AJ248" s="125"/>
    </row>
    <row r="249" spans="1:36" s="124" customFormat="1" x14ac:dyDescent="0.2">
      <c r="A249" s="134"/>
      <c r="B249" s="35" t="s">
        <v>222</v>
      </c>
      <c r="C249" s="125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125"/>
      <c r="V249" s="125"/>
      <c r="W249" s="125"/>
      <c r="X249" s="125"/>
      <c r="Y249" s="125"/>
      <c r="Z249" s="125"/>
      <c r="AA249" s="125"/>
      <c r="AB249" s="125"/>
      <c r="AC249" s="125"/>
      <c r="AD249" s="125"/>
      <c r="AE249" s="125"/>
      <c r="AF249" s="125"/>
      <c r="AG249" s="135"/>
      <c r="AH249" s="125"/>
      <c r="AI249" s="125"/>
      <c r="AJ249" s="125"/>
    </row>
    <row r="250" spans="1:36" s="124" customFormat="1" ht="12" x14ac:dyDescent="0.2">
      <c r="A250" s="134"/>
      <c r="B250" s="125" t="s">
        <v>169</v>
      </c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125"/>
      <c r="O250" s="125"/>
      <c r="P250" s="125"/>
      <c r="Q250" s="66"/>
      <c r="R250" s="125" t="s">
        <v>67</v>
      </c>
      <c r="S250" s="66"/>
      <c r="T250" s="66"/>
      <c r="U250" s="67" t="s">
        <v>14</v>
      </c>
      <c r="V250" s="420" t="str">
        <f>IF(AA109="Compact","[NA]",IF(AA109="Non Compact",(V238*F241-(V238*F241-V237*V234/10^6)*(M109-R109)/(V109-R109)),(0.9*E*V251*V234/M109^2)/10^6))</f>
        <v>[NA]</v>
      </c>
      <c r="W250" s="421"/>
      <c r="X250" s="421"/>
      <c r="Y250" s="421"/>
      <c r="Z250" s="125"/>
      <c r="AA250" s="125"/>
      <c r="AB250" s="125"/>
      <c r="AC250" s="125"/>
      <c r="AD250" s="125"/>
      <c r="AE250" s="125"/>
      <c r="AF250" s="181" t="str">
        <f>IF(AA109="Compact","[F4.3a]",IF(AA109="Non Compact","[F4-13]","[F4-14]"))</f>
        <v>[F4.3a]</v>
      </c>
      <c r="AG250" s="135"/>
      <c r="AH250" s="125"/>
      <c r="AI250" s="125"/>
      <c r="AJ250" s="125"/>
    </row>
    <row r="251" spans="1:36" s="124" customFormat="1" ht="12" x14ac:dyDescent="0.2">
      <c r="A251" s="134"/>
      <c r="B251" s="125"/>
      <c r="C251" s="125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 t="s">
        <v>191</v>
      </c>
      <c r="S251" s="125"/>
      <c r="T251" s="125"/>
      <c r="U251" s="67" t="s">
        <v>14</v>
      </c>
      <c r="V251" s="422">
        <f>MIN(MAX(4/SQRT(M110),0.35),0.76)</f>
        <v>0.76</v>
      </c>
      <c r="W251" s="423"/>
      <c r="X251" s="423"/>
      <c r="Y251" s="423"/>
      <c r="Z251" s="125"/>
      <c r="AA251" s="125"/>
      <c r="AB251" s="125"/>
      <c r="AC251" s="125"/>
      <c r="AD251" s="125"/>
      <c r="AE251" s="125"/>
      <c r="AF251" s="125"/>
      <c r="AG251" s="135"/>
      <c r="AH251" s="125"/>
      <c r="AI251" s="125"/>
      <c r="AJ251" s="125"/>
    </row>
    <row r="252" spans="1:36" s="124" customFormat="1" x14ac:dyDescent="0.2">
      <c r="A252" s="134"/>
      <c r="B252" s="125"/>
      <c r="C252" s="125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67"/>
      <c r="V252" s="172"/>
      <c r="W252" s="173"/>
      <c r="X252" s="173"/>
      <c r="Y252" s="173"/>
      <c r="Z252" s="125"/>
      <c r="AA252" s="125"/>
      <c r="AB252" s="125"/>
      <c r="AC252" s="125"/>
      <c r="AD252" s="125"/>
      <c r="AE252" s="125"/>
      <c r="AF252" s="125"/>
      <c r="AG252" s="135"/>
      <c r="AH252" s="125"/>
      <c r="AI252" s="125"/>
      <c r="AJ252" s="125"/>
    </row>
    <row r="253" spans="1:36" s="124" customFormat="1" x14ac:dyDescent="0.2">
      <c r="A253" s="134"/>
      <c r="B253" s="35" t="s">
        <v>223</v>
      </c>
      <c r="C253" s="125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125"/>
      <c r="V253" s="125"/>
      <c r="W253" s="125"/>
      <c r="X253" s="125"/>
      <c r="Y253" s="125"/>
      <c r="Z253" s="125"/>
      <c r="AA253" s="125"/>
      <c r="AB253" s="125"/>
      <c r="AC253" s="125"/>
      <c r="AD253" s="125"/>
      <c r="AE253" s="125"/>
      <c r="AF253" s="125"/>
      <c r="AG253" s="135"/>
      <c r="AH253" s="125"/>
      <c r="AI253" s="125"/>
      <c r="AJ253" s="125"/>
    </row>
    <row r="254" spans="1:36" s="124" customFormat="1" ht="12" x14ac:dyDescent="0.2">
      <c r="A254" s="134"/>
      <c r="B254" s="125" t="s">
        <v>169</v>
      </c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125"/>
      <c r="O254" s="125"/>
      <c r="P254" s="125"/>
      <c r="Q254" s="66"/>
      <c r="R254" s="125" t="s">
        <v>67</v>
      </c>
      <c r="S254" s="66"/>
      <c r="T254" s="66"/>
      <c r="U254" s="67" t="s">
        <v>14</v>
      </c>
      <c r="V254" s="420" t="str">
        <f>IF(V235&lt;V234,V239*V241,"[NA]")</f>
        <v>[NA]</v>
      </c>
      <c r="W254" s="421"/>
      <c r="X254" s="421"/>
      <c r="Y254" s="421"/>
      <c r="Z254" s="125"/>
      <c r="AA254" s="125"/>
      <c r="AB254" s="125"/>
      <c r="AC254" s="125"/>
      <c r="AD254" s="125"/>
      <c r="AE254" s="125"/>
      <c r="AF254" s="181" t="str">
        <f>IF(V235&lt;V234,"[F4-15]","[F4.4a]")</f>
        <v>[F4.4a]</v>
      </c>
      <c r="AG254" s="135"/>
      <c r="AH254" s="125"/>
      <c r="AI254" s="125"/>
      <c r="AJ254" s="125"/>
    </row>
    <row r="255" spans="1:36" s="124" customFormat="1" x14ac:dyDescent="0.2">
      <c r="A255" s="134"/>
      <c r="B255" s="125"/>
      <c r="C255" s="125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125"/>
      <c r="V255" s="125"/>
      <c r="W255" s="125"/>
      <c r="X255" s="125"/>
      <c r="Y255" s="125"/>
      <c r="Z255" s="125"/>
      <c r="AA255" s="125"/>
      <c r="AB255" s="125"/>
      <c r="AC255" s="125"/>
      <c r="AD255" s="125"/>
      <c r="AE255" s="125"/>
      <c r="AF255" s="125"/>
      <c r="AG255" s="135"/>
      <c r="AH255" s="125"/>
      <c r="AI255" s="125"/>
      <c r="AJ255" s="125"/>
    </row>
    <row r="256" spans="1:36" s="124" customFormat="1" ht="12.75" x14ac:dyDescent="0.2">
      <c r="A256" s="134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9"/>
      <c r="O256" s="70"/>
      <c r="P256" s="70"/>
      <c r="Q256" s="400" t="s">
        <v>16</v>
      </c>
      <c r="R256" s="401"/>
      <c r="S256" s="401"/>
      <c r="T256" s="401"/>
      <c r="U256" s="401"/>
      <c r="V256" s="401"/>
      <c r="W256" s="401"/>
      <c r="X256" s="402" t="s">
        <v>17</v>
      </c>
      <c r="Y256" s="401"/>
      <c r="Z256" s="401"/>
      <c r="AA256" s="401"/>
      <c r="AB256" s="401"/>
      <c r="AC256" s="401"/>
      <c r="AD256" s="401"/>
      <c r="AE256" s="401"/>
      <c r="AF256" s="401"/>
      <c r="AG256" s="135"/>
      <c r="AH256" s="125"/>
      <c r="AI256" s="125"/>
      <c r="AJ256" s="125"/>
    </row>
    <row r="257" spans="1:38" s="124" customFormat="1" ht="12.75" x14ac:dyDescent="0.2">
      <c r="A257" s="134"/>
      <c r="B257" s="403" t="s">
        <v>175</v>
      </c>
      <c r="C257" s="404"/>
      <c r="D257" s="404"/>
      <c r="E257" s="404"/>
      <c r="F257" s="404"/>
      <c r="G257" s="404"/>
      <c r="H257" s="404"/>
      <c r="I257" s="404"/>
      <c r="J257" s="404"/>
      <c r="K257" s="404"/>
      <c r="L257" s="404"/>
      <c r="M257" s="404"/>
      <c r="N257" s="404"/>
      <c r="O257" s="404"/>
      <c r="P257" s="404"/>
      <c r="Q257" s="405">
        <v>1.67</v>
      </c>
      <c r="R257" s="406"/>
      <c r="S257" s="406"/>
      <c r="T257" s="406"/>
      <c r="U257" s="406"/>
      <c r="V257" s="406"/>
      <c r="W257" s="406"/>
      <c r="X257" s="405">
        <v>0.9</v>
      </c>
      <c r="Y257" s="406"/>
      <c r="Z257" s="406"/>
      <c r="AA257" s="406"/>
      <c r="AB257" s="406"/>
      <c r="AC257" s="406"/>
      <c r="AD257" s="406"/>
      <c r="AE257" s="406"/>
      <c r="AF257" s="406"/>
      <c r="AG257" s="135"/>
      <c r="AH257" s="125"/>
      <c r="AI257" s="125"/>
      <c r="AJ257" s="125"/>
    </row>
    <row r="258" spans="1:38" s="124" customFormat="1" ht="12.75" x14ac:dyDescent="0.2">
      <c r="A258" s="134"/>
      <c r="B258" s="403" t="s">
        <v>174</v>
      </c>
      <c r="C258" s="404"/>
      <c r="D258" s="404"/>
      <c r="E258" s="404"/>
      <c r="F258" s="404"/>
      <c r="G258" s="404"/>
      <c r="H258" s="404"/>
      <c r="I258" s="404"/>
      <c r="J258" s="404"/>
      <c r="K258" s="404"/>
      <c r="L258" s="404"/>
      <c r="M258" s="404"/>
      <c r="N258" s="404"/>
      <c r="O258" s="404"/>
      <c r="P258" s="404"/>
      <c r="Q258" s="410">
        <f>IF(OR(AA110="Compact",AA110="Non Compact"),MIN(V223,V226,V250,V254)/Q257,"[NA]")</f>
        <v>15.463683713619458</v>
      </c>
      <c r="R258" s="411"/>
      <c r="S258" s="411"/>
      <c r="T258" s="411"/>
      <c r="U258" s="411"/>
      <c r="V258" s="411"/>
      <c r="W258" s="411"/>
      <c r="X258" s="410">
        <f>IF(OR(AA110="Compact",AA110="Non Compact"),X257*MIN(V223,V226,V250,V254),"[NA]")</f>
        <v>23.241916621570045</v>
      </c>
      <c r="Y258" s="411"/>
      <c r="Z258" s="411"/>
      <c r="AA258" s="411"/>
      <c r="AB258" s="411"/>
      <c r="AC258" s="411"/>
      <c r="AD258" s="411"/>
      <c r="AE258" s="411"/>
      <c r="AF258" s="411"/>
      <c r="AG258" s="135"/>
      <c r="AH258" s="125"/>
      <c r="AI258" s="125"/>
      <c r="AJ258" s="125"/>
    </row>
    <row r="259" spans="1:38" s="124" customFormat="1" x14ac:dyDescent="0.2">
      <c r="A259" s="134"/>
      <c r="B259" s="125"/>
      <c r="C259" s="125"/>
      <c r="D259" s="125"/>
      <c r="E259" s="125"/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125"/>
      <c r="V259" s="125"/>
      <c r="W259" s="125"/>
      <c r="X259" s="125"/>
      <c r="Y259" s="125"/>
      <c r="Z259" s="125"/>
      <c r="AA259" s="125"/>
      <c r="AB259" s="125"/>
      <c r="AC259" s="125"/>
      <c r="AD259" s="125"/>
      <c r="AE259" s="125"/>
      <c r="AF259" s="125"/>
      <c r="AG259" s="135"/>
      <c r="AH259" s="125"/>
      <c r="AI259" s="125"/>
      <c r="AJ259" s="125"/>
    </row>
    <row r="260" spans="1:38" s="124" customFormat="1" x14ac:dyDescent="0.2">
      <c r="A260" s="134"/>
      <c r="B260" s="35" t="s">
        <v>226</v>
      </c>
      <c r="C260" s="125"/>
      <c r="D260" s="125"/>
      <c r="E260" s="125"/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125"/>
      <c r="V260" s="125"/>
      <c r="W260" s="125"/>
      <c r="X260" s="125"/>
      <c r="Y260" s="125"/>
      <c r="Z260" s="125"/>
      <c r="AA260" s="125"/>
      <c r="AB260" s="125"/>
      <c r="AC260" s="125"/>
      <c r="AD260" s="125"/>
      <c r="AE260" s="125"/>
      <c r="AF260" s="125"/>
      <c r="AG260" s="135"/>
      <c r="AH260" s="125"/>
      <c r="AI260" s="125"/>
      <c r="AJ260" s="125"/>
    </row>
    <row r="261" spans="1:38" s="124" customFormat="1" x14ac:dyDescent="0.2">
      <c r="A261" s="134"/>
      <c r="B261" s="35" t="s">
        <v>232</v>
      </c>
      <c r="C261" s="125"/>
      <c r="D261" s="125"/>
      <c r="E261" s="125"/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125"/>
      <c r="V261" s="125"/>
      <c r="W261" s="125"/>
      <c r="X261" s="125"/>
      <c r="Y261" s="125"/>
      <c r="Z261" s="125"/>
      <c r="AA261" s="125"/>
      <c r="AB261" s="125"/>
      <c r="AC261" s="125"/>
      <c r="AD261" s="125"/>
      <c r="AE261" s="125"/>
      <c r="AF261" s="125"/>
      <c r="AG261" s="135"/>
      <c r="AH261" s="125"/>
      <c r="AI261" s="125"/>
      <c r="AJ261" s="125"/>
    </row>
    <row r="262" spans="1:38" s="124" customFormat="1" ht="12" x14ac:dyDescent="0.2">
      <c r="A262" s="134"/>
      <c r="B262" s="125" t="s">
        <v>169</v>
      </c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125"/>
      <c r="O262" s="125"/>
      <c r="P262" s="125"/>
      <c r="Q262" s="66"/>
      <c r="R262" s="125" t="s">
        <v>67</v>
      </c>
      <c r="S262" s="66"/>
      <c r="T262" s="66"/>
      <c r="U262" s="67" t="s">
        <v>14</v>
      </c>
      <c r="V262" s="420">
        <f>(V272*Fy*V270)/10^6</f>
        <v>22.448082173281254</v>
      </c>
      <c r="W262" s="421"/>
      <c r="X262" s="421"/>
      <c r="Y262" s="421"/>
      <c r="Z262" s="125"/>
      <c r="AA262" s="125"/>
      <c r="AB262" s="125"/>
      <c r="AC262" s="125"/>
      <c r="AD262" s="125"/>
      <c r="AE262" s="125"/>
      <c r="AF262" s="181" t="s">
        <v>230</v>
      </c>
      <c r="AG262" s="135"/>
      <c r="AH262" s="125"/>
      <c r="AI262" s="125"/>
      <c r="AJ262" s="125"/>
    </row>
    <row r="263" spans="1:38" s="124" customFormat="1" x14ac:dyDescent="0.2">
      <c r="A263" s="134"/>
      <c r="B263" s="125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125"/>
      <c r="O263" s="125"/>
      <c r="P263" s="125"/>
      <c r="Q263" s="66"/>
      <c r="R263" s="125"/>
      <c r="S263" s="66"/>
      <c r="T263" s="66"/>
      <c r="U263" s="67"/>
      <c r="V263" s="169"/>
      <c r="W263" s="170"/>
      <c r="X263" s="170"/>
      <c r="Y263" s="170"/>
      <c r="Z263" s="125"/>
      <c r="AA263" s="125"/>
      <c r="AB263" s="125"/>
      <c r="AC263" s="125"/>
      <c r="AD263" s="125"/>
      <c r="AE263" s="125"/>
      <c r="AF263" s="125"/>
      <c r="AG263" s="135"/>
      <c r="AH263" s="125"/>
      <c r="AI263" s="125"/>
      <c r="AJ263" s="125"/>
    </row>
    <row r="264" spans="1:38" s="124" customFormat="1" x14ac:dyDescent="0.2">
      <c r="A264" s="134"/>
      <c r="B264" s="35" t="s">
        <v>233</v>
      </c>
      <c r="C264" s="125"/>
      <c r="D264" s="125"/>
      <c r="E264" s="125"/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125"/>
      <c r="V264" s="125"/>
      <c r="W264" s="125"/>
      <c r="X264" s="125"/>
      <c r="Y264" s="125"/>
      <c r="Z264" s="125"/>
      <c r="AA264" s="125"/>
      <c r="AB264" s="125"/>
      <c r="AC264" s="125"/>
      <c r="AD264" s="125"/>
      <c r="AE264" s="125"/>
      <c r="AF264" s="125"/>
      <c r="AG264" s="135"/>
      <c r="AH264" s="125"/>
      <c r="AI264" s="125"/>
      <c r="AJ264" s="125"/>
    </row>
    <row r="265" spans="1:38" s="124" customFormat="1" ht="12" x14ac:dyDescent="0.2">
      <c r="A265" s="134"/>
      <c r="B265" s="125" t="s">
        <v>169</v>
      </c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125"/>
      <c r="O265" s="125"/>
      <c r="P265" s="125"/>
      <c r="Q265" s="66"/>
      <c r="R265" s="125" t="s">
        <v>67</v>
      </c>
      <c r="S265" s="66"/>
      <c r="T265" s="66"/>
      <c r="U265" s="67" t="s">
        <v>14</v>
      </c>
      <c r="V265" s="420" t="str">
        <f>IF(V266="[NA]","[NA]",V272*V266*V270/10^6)</f>
        <v>[NA]</v>
      </c>
      <c r="W265" s="421"/>
      <c r="X265" s="421"/>
      <c r="Y265" s="421"/>
      <c r="Z265" s="125"/>
      <c r="AA265" s="125"/>
      <c r="AB265" s="125"/>
      <c r="AC265" s="125"/>
      <c r="AD265" s="125"/>
      <c r="AE265" s="125"/>
      <c r="AF265" s="181" t="s">
        <v>231</v>
      </c>
      <c r="AG265" s="135"/>
      <c r="AH265" s="125"/>
      <c r="AI265" s="125"/>
      <c r="AJ265" s="125"/>
    </row>
    <row r="266" spans="1:38" s="124" customFormat="1" ht="12" x14ac:dyDescent="0.2">
      <c r="A266" s="134"/>
      <c r="B266" s="180" t="s">
        <v>124</v>
      </c>
      <c r="C266" s="125"/>
      <c r="D266" s="125"/>
      <c r="E266" s="125"/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80" t="s">
        <v>70</v>
      </c>
      <c r="S266" s="125"/>
      <c r="T266" s="125"/>
      <c r="U266" s="67" t="s">
        <v>14</v>
      </c>
      <c r="V266" s="418" t="str">
        <f>IF(X75&lt;=V273,"[NA]",IF(X75&lt;=V274,MIN(V202*(Fy-0.3*Fy*(X75-V273)/(V274-V273)),Fy),MIN((V202*PI()^2*E/(X75*1000/V269)^2),Fy)))</f>
        <v>[NA]</v>
      </c>
      <c r="W266" s="418"/>
      <c r="X266" s="418"/>
      <c r="Y266" s="418"/>
      <c r="Z266" s="125"/>
      <c r="AA266" s="125"/>
      <c r="AB266" s="125"/>
      <c r="AC266" s="125"/>
      <c r="AD266" s="125"/>
      <c r="AE266" s="125"/>
      <c r="AF266" s="181" t="str">
        <f>IF(X75&lt;=V273,"[F5.2a]",IF(X75&lt;=V274,"[F5-3]","[F5-4]"))</f>
        <v>[F5.2a]</v>
      </c>
      <c r="AG266" s="135"/>
      <c r="AH266" s="125"/>
      <c r="AI266" s="188"/>
      <c r="AJ266" s="185"/>
      <c r="AK266" s="185"/>
      <c r="AL266" s="185"/>
    </row>
    <row r="267" spans="1:38" s="124" customFormat="1" x14ac:dyDescent="0.2">
      <c r="A267" s="134"/>
      <c r="B267" s="125"/>
      <c r="C267" s="125"/>
      <c r="D267" s="125"/>
      <c r="E267" s="125"/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80"/>
      <c r="S267" s="125"/>
      <c r="T267" s="125"/>
      <c r="U267" s="67"/>
      <c r="V267" s="185"/>
      <c r="W267" s="185"/>
      <c r="X267" s="185"/>
      <c r="Y267" s="185"/>
      <c r="Z267" s="125"/>
      <c r="AA267" s="125"/>
      <c r="AB267" s="125"/>
      <c r="AC267" s="125"/>
      <c r="AD267" s="125"/>
      <c r="AE267" s="125"/>
      <c r="AF267" s="125"/>
      <c r="AG267" s="135"/>
      <c r="AH267" s="125"/>
      <c r="AI267" s="125"/>
      <c r="AJ267" s="125"/>
    </row>
    <row r="268" spans="1:38" s="124" customFormat="1" x14ac:dyDescent="0.2">
      <c r="A268" s="134"/>
      <c r="B268" s="159" t="s">
        <v>199</v>
      </c>
      <c r="C268" s="125"/>
      <c r="D268" s="125"/>
      <c r="E268" s="125"/>
      <c r="F268" s="125"/>
      <c r="G268" s="125"/>
      <c r="H268" s="125"/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  <c r="T268" s="125"/>
      <c r="U268" s="125"/>
      <c r="V268" s="125"/>
      <c r="W268" s="125"/>
      <c r="X268" s="125"/>
      <c r="Y268" s="125"/>
      <c r="Z268" s="125"/>
      <c r="AA268" s="125"/>
      <c r="AB268" s="125"/>
      <c r="AC268" s="125"/>
      <c r="AD268" s="125"/>
      <c r="AE268" s="125"/>
      <c r="AF268" s="125"/>
      <c r="AG268" s="135"/>
      <c r="AH268" s="125"/>
      <c r="AI268" s="125"/>
      <c r="AJ268" s="125"/>
    </row>
    <row r="269" spans="1:38" s="124" customFormat="1" ht="12" x14ac:dyDescent="0.2">
      <c r="A269" s="134"/>
      <c r="B269" s="180" t="s">
        <v>200</v>
      </c>
      <c r="C269" s="125"/>
      <c r="D269" s="125"/>
      <c r="E269" s="67" t="s">
        <v>14</v>
      </c>
      <c r="F269" s="422">
        <f>MIN((F270*tw)/(F271*F272),10)</f>
        <v>0.59845540406931075</v>
      </c>
      <c r="G269" s="422"/>
      <c r="H269" s="422"/>
      <c r="I269" s="422"/>
      <c r="J269" s="125"/>
      <c r="K269" s="125"/>
      <c r="L269" s="125"/>
      <c r="M269" s="125"/>
      <c r="N269" s="125"/>
      <c r="O269" s="125"/>
      <c r="P269" s="181"/>
      <c r="Q269" s="125"/>
      <c r="R269" s="180" t="s">
        <v>204</v>
      </c>
      <c r="S269" s="125"/>
      <c r="T269" s="125"/>
      <c r="U269" s="67" t="s">
        <v>14</v>
      </c>
      <c r="V269" s="416">
        <f>F271/SQRT(12*(F273/F274+(1/6)*F269*F275^2/(F273*F274)))</f>
        <v>30.135713486774794</v>
      </c>
      <c r="W269" s="416"/>
      <c r="X269" s="416"/>
      <c r="Y269" s="416"/>
      <c r="Z269" s="125"/>
      <c r="AA269" s="125"/>
      <c r="AB269" s="125"/>
      <c r="AC269" s="125"/>
      <c r="AD269" s="125"/>
      <c r="AE269" s="125"/>
      <c r="AF269" s="181"/>
      <c r="AG269" s="135"/>
      <c r="AH269" s="125"/>
      <c r="AI269" s="125"/>
      <c r="AJ269" s="125"/>
    </row>
    <row r="270" spans="1:38" s="124" customFormat="1" ht="12" x14ac:dyDescent="0.2">
      <c r="A270" s="134"/>
      <c r="B270" s="180" t="s">
        <v>198</v>
      </c>
      <c r="C270" s="125"/>
      <c r="D270" s="125"/>
      <c r="E270" s="67" t="s">
        <v>14</v>
      </c>
      <c r="F270" s="416">
        <f>W17</f>
        <v>76.399999618530273</v>
      </c>
      <c r="G270" s="416"/>
      <c r="H270" s="416"/>
      <c r="I270" s="416"/>
      <c r="J270" s="125"/>
      <c r="K270" s="125"/>
      <c r="L270" s="125"/>
      <c r="M270" s="125"/>
      <c r="N270" s="125"/>
      <c r="O270" s="125"/>
      <c r="P270" s="125"/>
      <c r="Q270" s="125"/>
      <c r="R270" s="180" t="s">
        <v>210</v>
      </c>
      <c r="S270" s="125"/>
      <c r="T270" s="125"/>
      <c r="U270" s="67" t="s">
        <v>14</v>
      </c>
      <c r="V270" s="414">
        <f>W9</f>
        <v>89792.328693125004</v>
      </c>
      <c r="W270" s="414"/>
      <c r="X270" s="414"/>
      <c r="Y270" s="414"/>
      <c r="Z270" s="180" t="s">
        <v>62</v>
      </c>
      <c r="AA270" s="125"/>
      <c r="AB270" s="125"/>
      <c r="AC270" s="125"/>
      <c r="AD270" s="125"/>
      <c r="AE270" s="125"/>
      <c r="AF270" s="125"/>
      <c r="AG270" s="135"/>
      <c r="AH270" s="125"/>
      <c r="AI270" s="125"/>
      <c r="AJ270" s="125"/>
    </row>
    <row r="271" spans="1:38" s="124" customFormat="1" ht="12" x14ac:dyDescent="0.2">
      <c r="A271" s="134"/>
      <c r="B271" s="180" t="s">
        <v>202</v>
      </c>
      <c r="C271" s="125"/>
      <c r="D271" s="125"/>
      <c r="E271" s="67" t="s">
        <v>14</v>
      </c>
      <c r="F271" s="416">
        <f>bf</f>
        <v>103</v>
      </c>
      <c r="G271" s="416"/>
      <c r="H271" s="416"/>
      <c r="I271" s="416"/>
      <c r="J271" s="125"/>
      <c r="K271" s="125"/>
      <c r="L271" s="125"/>
      <c r="M271" s="125"/>
      <c r="N271" s="125"/>
      <c r="O271" s="125"/>
      <c r="P271" s="125"/>
      <c r="Q271" s="125"/>
      <c r="R271" s="180" t="s">
        <v>211</v>
      </c>
      <c r="S271" s="125"/>
      <c r="T271" s="125"/>
      <c r="U271" s="67" t="s">
        <v>14</v>
      </c>
      <c r="V271" s="414">
        <f>W9</f>
        <v>89792.328693125004</v>
      </c>
      <c r="W271" s="414"/>
      <c r="X271" s="414"/>
      <c r="Y271" s="414"/>
      <c r="Z271" s="180" t="s">
        <v>62</v>
      </c>
      <c r="AA271" s="125"/>
      <c r="AB271" s="125"/>
      <c r="AC271" s="125"/>
      <c r="AD271" s="125"/>
      <c r="AE271" s="125"/>
      <c r="AF271" s="125"/>
      <c r="AG271" s="135"/>
      <c r="AH271" s="125"/>
      <c r="AI271" s="125"/>
      <c r="AJ271" s="125"/>
    </row>
    <row r="272" spans="1:38" s="124" customFormat="1" ht="12" x14ac:dyDescent="0.2">
      <c r="A272" s="134"/>
      <c r="B272" s="180" t="s">
        <v>203</v>
      </c>
      <c r="C272" s="125"/>
      <c r="D272" s="125"/>
      <c r="E272" s="67" t="s">
        <v>14</v>
      </c>
      <c r="F272" s="416">
        <f>tf</f>
        <v>8.8000001907348633</v>
      </c>
      <c r="G272" s="416"/>
      <c r="H272" s="416"/>
      <c r="I272" s="416"/>
      <c r="J272" s="125"/>
      <c r="K272" s="125"/>
      <c r="L272" s="125"/>
      <c r="M272" s="125"/>
      <c r="N272" s="125"/>
      <c r="O272" s="125"/>
      <c r="P272" s="125"/>
      <c r="Q272" s="125"/>
      <c r="R272" s="180" t="s">
        <v>228</v>
      </c>
      <c r="S272" s="125"/>
      <c r="T272" s="125"/>
      <c r="U272" s="67" t="s">
        <v>14</v>
      </c>
      <c r="V272" s="422">
        <f>MIN(1-(F269/(1200+300*F269))*((F270/tw)-5.7*SQRT(E/Fy)),1)</f>
        <v>1</v>
      </c>
      <c r="W272" s="422"/>
      <c r="X272" s="422"/>
      <c r="Y272" s="422"/>
      <c r="Z272" s="125"/>
      <c r="AA272" s="125"/>
      <c r="AB272" s="125"/>
      <c r="AC272" s="125"/>
      <c r="AD272" s="125"/>
      <c r="AE272" s="125"/>
      <c r="AF272" s="181" t="s">
        <v>229</v>
      </c>
      <c r="AG272" s="135"/>
      <c r="AH272" s="125"/>
      <c r="AI272" s="125"/>
      <c r="AJ272" s="125"/>
    </row>
    <row r="273" spans="1:36" s="124" customFormat="1" ht="12" x14ac:dyDescent="0.2">
      <c r="A273" s="134"/>
      <c r="B273" s="180" t="s">
        <v>183</v>
      </c>
      <c r="C273" s="125"/>
      <c r="D273" s="125"/>
      <c r="E273" s="67" t="s">
        <v>14</v>
      </c>
      <c r="F273" s="416">
        <f>(h-tf)</f>
        <v>97.199999809265137</v>
      </c>
      <c r="G273" s="416"/>
      <c r="H273" s="416"/>
      <c r="I273" s="416"/>
      <c r="J273" s="125"/>
      <c r="K273" s="125"/>
      <c r="L273" s="125"/>
      <c r="M273" s="125"/>
      <c r="N273" s="125"/>
      <c r="O273" s="125"/>
      <c r="P273" s="125"/>
      <c r="Q273" s="125"/>
      <c r="R273" s="180" t="s">
        <v>177</v>
      </c>
      <c r="S273" s="125"/>
      <c r="T273" s="125"/>
      <c r="U273" s="67" t="s">
        <v>14</v>
      </c>
      <c r="V273" s="419">
        <f>1.1*V269*SQRT(E/Fy)/1000</f>
        <v>0.93760336394530774</v>
      </c>
      <c r="W273" s="419"/>
      <c r="X273" s="419"/>
      <c r="Y273" s="419"/>
      <c r="Z273" s="125"/>
      <c r="AA273" s="125"/>
      <c r="AB273" s="125"/>
      <c r="AC273" s="125"/>
      <c r="AD273" s="125"/>
      <c r="AE273" s="125"/>
      <c r="AF273" s="125"/>
      <c r="AG273" s="135"/>
      <c r="AH273" s="125"/>
      <c r="AI273" s="125"/>
      <c r="AJ273" s="125"/>
    </row>
    <row r="274" spans="1:36" s="124" customFormat="1" ht="12" x14ac:dyDescent="0.2">
      <c r="A274" s="134"/>
      <c r="B274" s="180" t="s">
        <v>12</v>
      </c>
      <c r="C274" s="125"/>
      <c r="D274" s="125"/>
      <c r="E274" s="67" t="s">
        <v>14</v>
      </c>
      <c r="F274" s="416">
        <f>h</f>
        <v>106</v>
      </c>
      <c r="G274" s="416"/>
      <c r="H274" s="416"/>
      <c r="I274" s="416"/>
      <c r="J274" s="125"/>
      <c r="K274" s="125"/>
      <c r="L274" s="125"/>
      <c r="M274" s="125"/>
      <c r="N274" s="125"/>
      <c r="O274" s="125"/>
      <c r="P274" s="125"/>
      <c r="Q274" s="125"/>
      <c r="R274" s="180" t="s">
        <v>178</v>
      </c>
      <c r="S274" s="125"/>
      <c r="T274" s="125"/>
      <c r="U274" s="67" t="s">
        <v>14</v>
      </c>
      <c r="V274" s="419">
        <f>PI()*V269*SQRT(E/(0.7*Fy))/1000</f>
        <v>3.2005699575314335</v>
      </c>
      <c r="W274" s="419"/>
      <c r="X274" s="419"/>
      <c r="Y274" s="419"/>
      <c r="Z274" s="125"/>
      <c r="AA274" s="125"/>
      <c r="AB274" s="125"/>
      <c r="AC274" s="125"/>
      <c r="AD274" s="125"/>
      <c r="AE274" s="125"/>
      <c r="AF274" s="181" t="s">
        <v>227</v>
      </c>
      <c r="AG274" s="135"/>
      <c r="AH274" s="125"/>
      <c r="AI274" s="125"/>
      <c r="AJ274" s="125"/>
    </row>
    <row r="275" spans="1:36" s="124" customFormat="1" x14ac:dyDescent="0.2">
      <c r="A275" s="134"/>
      <c r="B275" s="180" t="s">
        <v>86</v>
      </c>
      <c r="C275" s="125"/>
      <c r="D275" s="125"/>
      <c r="E275" s="67" t="s">
        <v>14</v>
      </c>
      <c r="F275" s="416">
        <f>(h-2*k)</f>
        <v>76.399999618530273</v>
      </c>
      <c r="G275" s="416"/>
      <c r="H275" s="416"/>
      <c r="I275" s="416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A275" s="125"/>
      <c r="AB275" s="125"/>
      <c r="AC275" s="125"/>
      <c r="AD275" s="125"/>
      <c r="AE275" s="125"/>
      <c r="AF275" s="125"/>
      <c r="AG275" s="135"/>
      <c r="AH275" s="125"/>
      <c r="AI275" s="125"/>
      <c r="AJ275" s="125"/>
    </row>
    <row r="276" spans="1:36" s="124" customFormat="1" x14ac:dyDescent="0.2">
      <c r="A276" s="134"/>
      <c r="B276" s="125"/>
      <c r="C276" s="125"/>
      <c r="D276" s="125"/>
      <c r="E276" s="125"/>
      <c r="F276" s="125"/>
      <c r="G276" s="125"/>
      <c r="H276" s="125"/>
      <c r="I276" s="125"/>
      <c r="J276" s="125"/>
      <c r="K276" s="125"/>
      <c r="L276" s="125"/>
      <c r="M276" s="125"/>
      <c r="N276" s="125"/>
      <c r="O276" s="125"/>
      <c r="P276" s="125"/>
      <c r="Q276" s="125"/>
      <c r="R276" s="125"/>
      <c r="S276" s="125"/>
      <c r="T276" s="125"/>
      <c r="U276" s="125"/>
      <c r="V276" s="125"/>
      <c r="W276" s="125"/>
      <c r="X276" s="125"/>
      <c r="Y276" s="125"/>
      <c r="Z276" s="125"/>
      <c r="AA276" s="125"/>
      <c r="AB276" s="125"/>
      <c r="AC276" s="125"/>
      <c r="AD276" s="125"/>
      <c r="AE276" s="125"/>
      <c r="AF276" s="125"/>
      <c r="AG276" s="135"/>
      <c r="AH276" s="125"/>
      <c r="AI276" s="125"/>
      <c r="AJ276" s="125"/>
    </row>
    <row r="277" spans="1:36" s="124" customFormat="1" x14ac:dyDescent="0.2">
      <c r="A277" s="134"/>
      <c r="B277" s="35" t="s">
        <v>234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25"/>
      <c r="V277" s="125"/>
      <c r="W277" s="125"/>
      <c r="X277" s="125"/>
      <c r="Y277" s="125"/>
      <c r="Z277" s="125"/>
      <c r="AA277" s="125"/>
      <c r="AB277" s="125"/>
      <c r="AC277" s="125"/>
      <c r="AD277" s="125"/>
      <c r="AE277" s="125"/>
      <c r="AF277" s="125"/>
      <c r="AG277" s="135"/>
      <c r="AH277" s="125"/>
      <c r="AI277" s="125"/>
      <c r="AJ277" s="125"/>
    </row>
    <row r="278" spans="1:36" s="124" customFormat="1" ht="12" x14ac:dyDescent="0.2">
      <c r="A278" s="134"/>
      <c r="B278" s="125" t="s">
        <v>169</v>
      </c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125"/>
      <c r="O278" s="125"/>
      <c r="P278" s="125"/>
      <c r="Q278" s="66"/>
      <c r="R278" s="125" t="s">
        <v>67</v>
      </c>
      <c r="S278" s="66"/>
      <c r="T278" s="66"/>
      <c r="U278" s="67" t="s">
        <v>14</v>
      </c>
      <c r="V278" s="420" t="str">
        <f>IF(V279="[NA]","[NA]",V272*V279*V270/10^6)</f>
        <v>[NA]</v>
      </c>
      <c r="W278" s="421"/>
      <c r="X278" s="421"/>
      <c r="Y278" s="421"/>
      <c r="Z278" s="125"/>
      <c r="AA278" s="125"/>
      <c r="AB278" s="125"/>
      <c r="AC278" s="125"/>
      <c r="AD278" s="125"/>
      <c r="AE278" s="125"/>
      <c r="AF278" s="181" t="s">
        <v>236</v>
      </c>
      <c r="AG278" s="135"/>
      <c r="AH278" s="125"/>
      <c r="AI278" s="125"/>
      <c r="AJ278" s="125"/>
    </row>
    <row r="279" spans="1:36" s="124" customFormat="1" ht="12" x14ac:dyDescent="0.2">
      <c r="A279" s="134"/>
      <c r="B279" s="180" t="s">
        <v>124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80" t="s">
        <v>70</v>
      </c>
      <c r="S279" s="125"/>
      <c r="T279" s="125"/>
      <c r="U279" s="67" t="s">
        <v>14</v>
      </c>
      <c r="V279" s="418" t="str">
        <f>IF(AA109="Compact","[NA]",IF(AA109="Non Compact",(Fy-(0.3*Fy)*(M109-R109)/(V109-R109)),(0.9*E*V280/M109^2)))</f>
        <v>[NA]</v>
      </c>
      <c r="W279" s="418"/>
      <c r="X279" s="418"/>
      <c r="Y279" s="418"/>
      <c r="Z279" s="125"/>
      <c r="AA279" s="125"/>
      <c r="AB279" s="125"/>
      <c r="AC279" s="125"/>
      <c r="AD279" s="125"/>
      <c r="AE279" s="125"/>
      <c r="AF279" s="181" t="str">
        <f>IF(AA109="Compact","[F5.3a]",IF(AA109="Non Compact","[F5-8]","[F5-9]"))</f>
        <v>[F5.3a]</v>
      </c>
      <c r="AG279" s="135"/>
      <c r="AH279" s="125"/>
      <c r="AI279" s="125"/>
      <c r="AJ279" s="125"/>
    </row>
    <row r="280" spans="1:36" s="124" customFormat="1" ht="12" x14ac:dyDescent="0.2">
      <c r="A280" s="134"/>
      <c r="B280" s="125"/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 t="s">
        <v>191</v>
      </c>
      <c r="S280" s="125"/>
      <c r="T280" s="125"/>
      <c r="U280" s="67" t="s">
        <v>14</v>
      </c>
      <c r="V280" s="422">
        <f>MIN(MAX(4/SQRT(M110),0.35),0.76)</f>
        <v>0.76</v>
      </c>
      <c r="W280" s="423"/>
      <c r="X280" s="423"/>
      <c r="Y280" s="423"/>
      <c r="Z280" s="125"/>
      <c r="AA280" s="125"/>
      <c r="AB280" s="125"/>
      <c r="AC280" s="125"/>
      <c r="AD280" s="125"/>
      <c r="AE280" s="125"/>
      <c r="AF280" s="125"/>
      <c r="AG280" s="135"/>
      <c r="AH280" s="125"/>
      <c r="AI280" s="125"/>
      <c r="AJ280" s="125"/>
    </row>
    <row r="281" spans="1:36" s="124" customFormat="1" x14ac:dyDescent="0.2">
      <c r="A281" s="134"/>
      <c r="B281" s="125"/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67"/>
      <c r="V281" s="172"/>
      <c r="W281" s="173"/>
      <c r="X281" s="173"/>
      <c r="Y281" s="173"/>
      <c r="Z281" s="125"/>
      <c r="AA281" s="125"/>
      <c r="AB281" s="125"/>
      <c r="AC281" s="125"/>
      <c r="AD281" s="125"/>
      <c r="AE281" s="125"/>
      <c r="AF281" s="125"/>
      <c r="AG281" s="135"/>
      <c r="AH281" s="125"/>
      <c r="AI281" s="125"/>
      <c r="AJ281" s="125"/>
    </row>
    <row r="282" spans="1:36" s="124" customFormat="1" x14ac:dyDescent="0.2">
      <c r="A282" s="134"/>
      <c r="B282" s="35" t="s">
        <v>235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25"/>
      <c r="V282" s="125"/>
      <c r="W282" s="125"/>
      <c r="X282" s="125"/>
      <c r="Y282" s="125"/>
      <c r="Z282" s="125"/>
      <c r="AA282" s="125"/>
      <c r="AB282" s="125"/>
      <c r="AC282" s="125"/>
      <c r="AD282" s="125"/>
      <c r="AE282" s="125"/>
      <c r="AF282" s="125"/>
      <c r="AG282" s="135"/>
      <c r="AH282" s="125"/>
      <c r="AI282" s="125"/>
      <c r="AJ282" s="125"/>
    </row>
    <row r="283" spans="1:36" s="124" customFormat="1" ht="12" x14ac:dyDescent="0.2">
      <c r="A283" s="134"/>
      <c r="B283" s="125" t="s">
        <v>169</v>
      </c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125"/>
      <c r="O283" s="125"/>
      <c r="P283" s="125"/>
      <c r="Q283" s="66"/>
      <c r="R283" s="125" t="s">
        <v>67</v>
      </c>
      <c r="S283" s="66"/>
      <c r="T283" s="66"/>
      <c r="U283" s="67" t="s">
        <v>14</v>
      </c>
      <c r="V283" s="420" t="str">
        <f>IF(V271&lt;V270,Fy*V271/10^6,"[NA]")</f>
        <v>[NA]</v>
      </c>
      <c r="W283" s="421"/>
      <c r="X283" s="421"/>
      <c r="Y283" s="421"/>
      <c r="Z283" s="125"/>
      <c r="AA283" s="125"/>
      <c r="AB283" s="125"/>
      <c r="AC283" s="125"/>
      <c r="AD283" s="125"/>
      <c r="AE283" s="125"/>
      <c r="AF283" s="181" t="str">
        <f>IF(V271&lt;V270,"[F5-10]","[F5.4a]")</f>
        <v>[F5.4a]</v>
      </c>
      <c r="AG283" s="135"/>
      <c r="AH283" s="125"/>
      <c r="AI283" s="125"/>
      <c r="AJ283" s="125"/>
    </row>
    <row r="284" spans="1:36" s="124" customFormat="1" x14ac:dyDescent="0.2">
      <c r="A284" s="134"/>
      <c r="B284" s="125"/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25"/>
      <c r="V284" s="125"/>
      <c r="W284" s="125"/>
      <c r="X284" s="125"/>
      <c r="Y284" s="125"/>
      <c r="Z284" s="125"/>
      <c r="AA284" s="125"/>
      <c r="AB284" s="125"/>
      <c r="AC284" s="125"/>
      <c r="AD284" s="125"/>
      <c r="AE284" s="125"/>
      <c r="AF284" s="125"/>
      <c r="AG284" s="135"/>
      <c r="AH284" s="125"/>
      <c r="AI284" s="125"/>
      <c r="AJ284" s="125"/>
    </row>
    <row r="285" spans="1:36" s="124" customFormat="1" ht="12.75" x14ac:dyDescent="0.2">
      <c r="A285" s="134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9"/>
      <c r="O285" s="70"/>
      <c r="P285" s="70"/>
      <c r="Q285" s="400" t="s">
        <v>16</v>
      </c>
      <c r="R285" s="401"/>
      <c r="S285" s="401"/>
      <c r="T285" s="401"/>
      <c r="U285" s="401"/>
      <c r="V285" s="401"/>
      <c r="W285" s="401"/>
      <c r="X285" s="402" t="s">
        <v>17</v>
      </c>
      <c r="Y285" s="401"/>
      <c r="Z285" s="401"/>
      <c r="AA285" s="401"/>
      <c r="AB285" s="401"/>
      <c r="AC285" s="401"/>
      <c r="AD285" s="401"/>
      <c r="AE285" s="401"/>
      <c r="AF285" s="401"/>
      <c r="AG285" s="135"/>
      <c r="AH285" s="125"/>
      <c r="AI285" s="125"/>
      <c r="AJ285" s="125"/>
    </row>
    <row r="286" spans="1:36" s="124" customFormat="1" ht="12.75" x14ac:dyDescent="0.2">
      <c r="A286" s="134"/>
      <c r="B286" s="403" t="s">
        <v>175</v>
      </c>
      <c r="C286" s="404"/>
      <c r="D286" s="404"/>
      <c r="E286" s="404"/>
      <c r="F286" s="404"/>
      <c r="G286" s="404"/>
      <c r="H286" s="404"/>
      <c r="I286" s="404"/>
      <c r="J286" s="404"/>
      <c r="K286" s="404"/>
      <c r="L286" s="404"/>
      <c r="M286" s="404"/>
      <c r="N286" s="404"/>
      <c r="O286" s="404"/>
      <c r="P286" s="404"/>
      <c r="Q286" s="405">
        <v>1.67</v>
      </c>
      <c r="R286" s="406"/>
      <c r="S286" s="406"/>
      <c r="T286" s="406"/>
      <c r="U286" s="406"/>
      <c r="V286" s="406"/>
      <c r="W286" s="406"/>
      <c r="X286" s="405">
        <v>0.9</v>
      </c>
      <c r="Y286" s="406"/>
      <c r="Z286" s="406"/>
      <c r="AA286" s="406"/>
      <c r="AB286" s="406"/>
      <c r="AC286" s="406"/>
      <c r="AD286" s="406"/>
      <c r="AE286" s="406"/>
      <c r="AF286" s="406"/>
      <c r="AG286" s="135"/>
      <c r="AH286" s="125"/>
      <c r="AI286" s="125"/>
      <c r="AJ286" s="125"/>
    </row>
    <row r="287" spans="1:36" s="124" customFormat="1" ht="12.75" x14ac:dyDescent="0.2">
      <c r="A287" s="134"/>
      <c r="B287" s="403" t="s">
        <v>174</v>
      </c>
      <c r="C287" s="404"/>
      <c r="D287" s="404"/>
      <c r="E287" s="404"/>
      <c r="F287" s="404"/>
      <c r="G287" s="404"/>
      <c r="H287" s="404"/>
      <c r="I287" s="404"/>
      <c r="J287" s="404"/>
      <c r="K287" s="404"/>
      <c r="L287" s="404"/>
      <c r="M287" s="404"/>
      <c r="N287" s="404"/>
      <c r="O287" s="404"/>
      <c r="P287" s="404"/>
      <c r="Q287" s="410" t="str">
        <f>IF(A110="Slender",MIN(V262,V265,V278,V283)/Q286,"[NA]")</f>
        <v>[NA]</v>
      </c>
      <c r="R287" s="411"/>
      <c r="S287" s="411"/>
      <c r="T287" s="411"/>
      <c r="U287" s="411"/>
      <c r="V287" s="411"/>
      <c r="W287" s="411"/>
      <c r="X287" s="410" t="str">
        <f>IF(A110="Slender",X286*MIN(V262,V265,V278,V283),"[NA]")</f>
        <v>[NA]</v>
      </c>
      <c r="Y287" s="411"/>
      <c r="Z287" s="411"/>
      <c r="AA287" s="411"/>
      <c r="AB287" s="411"/>
      <c r="AC287" s="411"/>
      <c r="AD287" s="411"/>
      <c r="AE287" s="411"/>
      <c r="AF287" s="411"/>
      <c r="AG287" s="135"/>
      <c r="AH287" s="125"/>
      <c r="AI287" s="125"/>
      <c r="AJ287" s="125"/>
    </row>
    <row r="288" spans="1:36" s="124" customFormat="1" x14ac:dyDescent="0.2">
      <c r="A288" s="134"/>
      <c r="B288" s="125"/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25"/>
      <c r="V288" s="125"/>
      <c r="W288" s="125"/>
      <c r="X288" s="125"/>
      <c r="Y288" s="125"/>
      <c r="Z288" s="125"/>
      <c r="AA288" s="125"/>
      <c r="AB288" s="125"/>
      <c r="AC288" s="125"/>
      <c r="AD288" s="125"/>
      <c r="AE288" s="125"/>
      <c r="AF288" s="125"/>
      <c r="AG288" s="135"/>
      <c r="AH288" s="125"/>
      <c r="AI288" s="125"/>
      <c r="AJ288" s="125"/>
    </row>
    <row r="289" spans="1:36" s="124" customFormat="1" x14ac:dyDescent="0.2">
      <c r="A289" s="134"/>
      <c r="B289" s="35" t="s">
        <v>237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25"/>
      <c r="V289" s="125"/>
      <c r="W289" s="125"/>
      <c r="X289" s="125"/>
      <c r="Y289" s="125"/>
      <c r="Z289" s="125"/>
      <c r="AA289" s="125"/>
      <c r="AB289" s="125"/>
      <c r="AC289" s="125"/>
      <c r="AD289" s="125"/>
      <c r="AE289" s="125"/>
      <c r="AF289" s="125"/>
      <c r="AG289" s="135"/>
      <c r="AH289" s="125"/>
      <c r="AI289" s="125"/>
      <c r="AJ289" s="125"/>
    </row>
    <row r="290" spans="1:36" s="124" customFormat="1" x14ac:dyDescent="0.2">
      <c r="A290" s="134"/>
      <c r="B290" s="35" t="s">
        <v>238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25"/>
      <c r="V290" s="125"/>
      <c r="W290" s="125"/>
      <c r="X290" s="125"/>
      <c r="Y290" s="125"/>
      <c r="Z290" s="125"/>
      <c r="AA290" s="125"/>
      <c r="AB290" s="125"/>
      <c r="AC290" s="125"/>
      <c r="AD290" s="125"/>
      <c r="AE290" s="125"/>
      <c r="AF290" s="125"/>
      <c r="AG290" s="135"/>
      <c r="AH290" s="125"/>
      <c r="AI290" s="125"/>
      <c r="AJ290" s="125"/>
    </row>
    <row r="291" spans="1:36" s="124" customFormat="1" ht="12" x14ac:dyDescent="0.2">
      <c r="A291" s="134"/>
      <c r="B291" s="125" t="s">
        <v>169</v>
      </c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125"/>
      <c r="O291" s="125"/>
      <c r="P291" s="125"/>
      <c r="Q291" s="66"/>
      <c r="R291" s="125" t="s">
        <v>67</v>
      </c>
      <c r="S291" s="66"/>
      <c r="T291" s="66"/>
      <c r="U291" s="67" t="s">
        <v>14</v>
      </c>
      <c r="V291" s="420">
        <f>MIN(V293,1.6*Fy*W10/10^6)</f>
        <v>11.986195605274675</v>
      </c>
      <c r="W291" s="421"/>
      <c r="X291" s="421"/>
      <c r="Y291" s="421"/>
      <c r="Z291" s="125"/>
      <c r="AA291" s="125"/>
      <c r="AB291" s="125"/>
      <c r="AC291" s="125"/>
      <c r="AD291" s="125"/>
      <c r="AE291" s="125"/>
      <c r="AF291" s="181" t="s">
        <v>239</v>
      </c>
      <c r="AG291" s="135"/>
      <c r="AH291" s="125"/>
      <c r="AI291" s="125"/>
      <c r="AJ291" s="125"/>
    </row>
    <row r="292" spans="1:36" s="124" customFormat="1" ht="12" x14ac:dyDescent="0.2">
      <c r="A292" s="134"/>
      <c r="B292" s="125" t="s">
        <v>171</v>
      </c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125"/>
      <c r="O292" s="125"/>
      <c r="P292" s="125"/>
      <c r="Q292" s="66"/>
      <c r="R292" s="125" t="s">
        <v>170</v>
      </c>
      <c r="S292" s="66"/>
      <c r="T292" s="66"/>
      <c r="U292" s="67" t="s">
        <v>14</v>
      </c>
      <c r="V292" s="197" t="s">
        <v>240</v>
      </c>
      <c r="W292" s="170"/>
      <c r="X292" s="170"/>
      <c r="Y292" s="170"/>
      <c r="Z292" s="125"/>
      <c r="AA292" s="125"/>
      <c r="AB292" s="125"/>
      <c r="AC292" s="125"/>
      <c r="AD292" s="125"/>
      <c r="AE292" s="125"/>
      <c r="AF292" s="125"/>
      <c r="AG292" s="135"/>
      <c r="AH292" s="125"/>
      <c r="AI292" s="125"/>
      <c r="AJ292" s="125"/>
    </row>
    <row r="293" spans="1:36" s="124" customFormat="1" x14ac:dyDescent="0.2">
      <c r="A293" s="134"/>
      <c r="B293" s="125"/>
      <c r="C293" s="128"/>
      <c r="D293" s="128"/>
      <c r="E293" s="128"/>
      <c r="F293" s="128"/>
      <c r="G293" s="128"/>
      <c r="H293" s="128"/>
      <c r="I293" s="128"/>
      <c r="J293" s="128"/>
      <c r="K293" s="128"/>
      <c r="L293" s="128"/>
      <c r="M293" s="128"/>
      <c r="N293" s="128"/>
      <c r="O293" s="128"/>
      <c r="P293" s="128"/>
      <c r="Q293" s="128"/>
      <c r="R293" s="128"/>
      <c r="S293" s="128"/>
      <c r="T293" s="128"/>
      <c r="U293" s="67" t="s">
        <v>14</v>
      </c>
      <c r="V293" s="420">
        <f>(Fy*W12)/10^6</f>
        <v>11.986195605274675</v>
      </c>
      <c r="W293" s="421"/>
      <c r="X293" s="421"/>
      <c r="Y293" s="421"/>
      <c r="Z293" s="125"/>
      <c r="AA293" s="125"/>
      <c r="AB293" s="125"/>
      <c r="AC293" s="125"/>
      <c r="AD293" s="125"/>
      <c r="AE293" s="125"/>
      <c r="AF293" s="125"/>
      <c r="AG293" s="135"/>
      <c r="AH293" s="125"/>
      <c r="AI293" s="125"/>
      <c r="AJ293" s="125"/>
    </row>
    <row r="294" spans="1:36" s="124" customFormat="1" x14ac:dyDescent="0.2">
      <c r="A294" s="134"/>
      <c r="B294" s="35" t="s">
        <v>241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25"/>
      <c r="V294" s="125"/>
      <c r="W294" s="125"/>
      <c r="X294" s="125"/>
      <c r="Y294" s="125"/>
      <c r="Z294" s="125"/>
      <c r="AA294" s="125"/>
      <c r="AB294" s="125"/>
      <c r="AC294" s="125"/>
      <c r="AD294" s="125"/>
      <c r="AE294" s="125"/>
      <c r="AF294" s="125"/>
      <c r="AG294" s="135"/>
      <c r="AH294" s="125"/>
      <c r="AI294" s="125"/>
      <c r="AJ294" s="125"/>
    </row>
    <row r="295" spans="1:36" s="124" customFormat="1" ht="12" x14ac:dyDescent="0.2">
      <c r="A295" s="134"/>
      <c r="B295" s="125" t="s">
        <v>169</v>
      </c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125"/>
      <c r="O295" s="125"/>
      <c r="P295" s="125"/>
      <c r="Q295" s="66"/>
      <c r="R295" s="125" t="s">
        <v>67</v>
      </c>
      <c r="S295" s="66"/>
      <c r="T295" s="66"/>
      <c r="U295" s="67" t="s">
        <v>14</v>
      </c>
      <c r="V295" s="420" t="str">
        <f>IF(AA109="Compact","[NA]",IF(AA109="Non Compact",(V293-(V293-0.7*Fy*W10/10^6)*(M109-R109)/(V109-R109)),(V296*W10/10^6)))</f>
        <v>[NA]</v>
      </c>
      <c r="W295" s="421"/>
      <c r="X295" s="421"/>
      <c r="Y295" s="421"/>
      <c r="Z295" s="125"/>
      <c r="AA295" s="125"/>
      <c r="AB295" s="125"/>
      <c r="AC295" s="125"/>
      <c r="AD295" s="125"/>
      <c r="AE295" s="125"/>
      <c r="AF295" s="181" t="str">
        <f>IF(AA109="Compact","[F6.2a]",IF(AA109="Non Compact","[F6-2]","[F6-3]"))</f>
        <v>[F6.2a]</v>
      </c>
      <c r="AG295" s="135"/>
      <c r="AH295" s="125"/>
      <c r="AI295" s="125"/>
      <c r="AJ295" s="125"/>
    </row>
    <row r="296" spans="1:36" s="124" customFormat="1" ht="12" x14ac:dyDescent="0.2">
      <c r="A296" s="134"/>
      <c r="B296" s="180" t="s">
        <v>124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80" t="s">
        <v>70</v>
      </c>
      <c r="S296" s="125"/>
      <c r="T296" s="125"/>
      <c r="U296" s="67" t="s">
        <v>14</v>
      </c>
      <c r="V296" s="418">
        <f>0.69*E/M109^2</f>
        <v>4029.3035962887511</v>
      </c>
      <c r="W296" s="418"/>
      <c r="X296" s="418"/>
      <c r="Y296" s="418"/>
      <c r="Z296" s="125"/>
      <c r="AA296" s="125"/>
      <c r="AB296" s="125"/>
      <c r="AC296" s="125"/>
      <c r="AD296" s="125"/>
      <c r="AE296" s="125"/>
      <c r="AF296" s="181" t="s">
        <v>242</v>
      </c>
      <c r="AG296" s="135"/>
      <c r="AH296" s="125"/>
      <c r="AI296" s="125"/>
      <c r="AJ296" s="125"/>
    </row>
    <row r="297" spans="1:36" s="124" customFormat="1" x14ac:dyDescent="0.2">
      <c r="A297" s="134"/>
      <c r="B297" s="125"/>
      <c r="C297" s="125"/>
      <c r="D297" s="125"/>
      <c r="E297" s="125"/>
      <c r="F297" s="125"/>
      <c r="G297" s="125"/>
      <c r="H297" s="125"/>
      <c r="I297" s="125"/>
      <c r="J297" s="125"/>
      <c r="K297" s="125"/>
      <c r="L297" s="125"/>
      <c r="M297" s="125"/>
      <c r="N297" s="125"/>
      <c r="O297" s="125"/>
      <c r="P297" s="125"/>
      <c r="Q297" s="125"/>
      <c r="R297" s="125"/>
      <c r="S297" s="125"/>
      <c r="T297" s="125"/>
      <c r="U297" s="125"/>
      <c r="V297" s="125"/>
      <c r="W297" s="125"/>
      <c r="X297" s="125"/>
      <c r="Y297" s="125"/>
      <c r="Z297" s="125"/>
      <c r="AA297" s="125"/>
      <c r="AB297" s="125"/>
      <c r="AC297" s="125"/>
      <c r="AD297" s="125"/>
      <c r="AE297" s="125"/>
      <c r="AF297" s="125"/>
      <c r="AG297" s="135"/>
      <c r="AH297" s="125"/>
      <c r="AI297" s="125"/>
      <c r="AJ297" s="125"/>
    </row>
    <row r="298" spans="1:36" s="124" customFormat="1" ht="12.75" x14ac:dyDescent="0.2">
      <c r="A298" s="134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9"/>
      <c r="O298" s="70"/>
      <c r="P298" s="70"/>
      <c r="Q298" s="400" t="s">
        <v>16</v>
      </c>
      <c r="R298" s="401"/>
      <c r="S298" s="401"/>
      <c r="T298" s="401"/>
      <c r="U298" s="401"/>
      <c r="V298" s="401"/>
      <c r="W298" s="401"/>
      <c r="X298" s="402" t="s">
        <v>17</v>
      </c>
      <c r="Y298" s="401"/>
      <c r="Z298" s="401"/>
      <c r="AA298" s="401"/>
      <c r="AB298" s="401"/>
      <c r="AC298" s="401"/>
      <c r="AD298" s="401"/>
      <c r="AE298" s="401"/>
      <c r="AF298" s="401"/>
      <c r="AG298" s="135"/>
      <c r="AH298" s="125"/>
      <c r="AI298" s="125"/>
      <c r="AJ298" s="125"/>
    </row>
    <row r="299" spans="1:36" s="124" customFormat="1" ht="12.75" x14ac:dyDescent="0.2">
      <c r="A299" s="134"/>
      <c r="B299" s="403" t="s">
        <v>175</v>
      </c>
      <c r="C299" s="404"/>
      <c r="D299" s="404"/>
      <c r="E299" s="404"/>
      <c r="F299" s="404"/>
      <c r="G299" s="404"/>
      <c r="H299" s="404"/>
      <c r="I299" s="404"/>
      <c r="J299" s="404"/>
      <c r="K299" s="404"/>
      <c r="L299" s="404"/>
      <c r="M299" s="404"/>
      <c r="N299" s="404"/>
      <c r="O299" s="404"/>
      <c r="P299" s="404"/>
      <c r="Q299" s="405">
        <v>1.67</v>
      </c>
      <c r="R299" s="406"/>
      <c r="S299" s="406"/>
      <c r="T299" s="406"/>
      <c r="U299" s="406"/>
      <c r="V299" s="406"/>
      <c r="W299" s="406"/>
      <c r="X299" s="405">
        <v>0.9</v>
      </c>
      <c r="Y299" s="406"/>
      <c r="Z299" s="406"/>
      <c r="AA299" s="406"/>
      <c r="AB299" s="406"/>
      <c r="AC299" s="406"/>
      <c r="AD299" s="406"/>
      <c r="AE299" s="406"/>
      <c r="AF299" s="406"/>
      <c r="AG299" s="135"/>
      <c r="AH299" s="125"/>
      <c r="AI299" s="125"/>
      <c r="AJ299" s="125"/>
    </row>
    <row r="300" spans="1:36" s="124" customFormat="1" ht="12.75" x14ac:dyDescent="0.2">
      <c r="A300" s="134"/>
      <c r="B300" s="403" t="s">
        <v>174</v>
      </c>
      <c r="C300" s="404"/>
      <c r="D300" s="404"/>
      <c r="E300" s="404"/>
      <c r="F300" s="404"/>
      <c r="G300" s="404"/>
      <c r="H300" s="404"/>
      <c r="I300" s="404"/>
      <c r="J300" s="404"/>
      <c r="K300" s="404"/>
      <c r="L300" s="404"/>
      <c r="M300" s="404"/>
      <c r="N300" s="404"/>
      <c r="O300" s="404"/>
      <c r="P300" s="404"/>
      <c r="Q300" s="410">
        <f>MIN(V291,V295)/Q299</f>
        <v>7.1773626378890274</v>
      </c>
      <c r="R300" s="411"/>
      <c r="S300" s="411"/>
      <c r="T300" s="411"/>
      <c r="U300" s="411"/>
      <c r="V300" s="411"/>
      <c r="W300" s="411"/>
      <c r="X300" s="410">
        <f>X299*MIN(V291,V295)</f>
        <v>10.787576044747208</v>
      </c>
      <c r="Y300" s="411"/>
      <c r="Z300" s="411"/>
      <c r="AA300" s="411"/>
      <c r="AB300" s="411"/>
      <c r="AC300" s="411"/>
      <c r="AD300" s="411"/>
      <c r="AE300" s="411"/>
      <c r="AF300" s="411"/>
      <c r="AG300" s="135"/>
      <c r="AH300" s="125"/>
      <c r="AI300" s="125"/>
      <c r="AJ300" s="125"/>
    </row>
    <row r="301" spans="1:36" s="124" customFormat="1" x14ac:dyDescent="0.2">
      <c r="A301" s="134"/>
      <c r="B301" s="125"/>
      <c r="C301" s="125"/>
      <c r="D301" s="125"/>
      <c r="E301" s="125"/>
      <c r="F301" s="125"/>
      <c r="G301" s="125"/>
      <c r="H301" s="125"/>
      <c r="I301" s="125"/>
      <c r="J301" s="125"/>
      <c r="K301" s="125"/>
      <c r="L301" s="125"/>
      <c r="M301" s="125"/>
      <c r="N301" s="125"/>
      <c r="O301" s="125"/>
      <c r="P301" s="125"/>
      <c r="Q301" s="125"/>
      <c r="R301" s="125"/>
      <c r="S301" s="125"/>
      <c r="T301" s="125"/>
      <c r="U301" s="125"/>
      <c r="V301" s="125"/>
      <c r="W301" s="125"/>
      <c r="X301" s="125"/>
      <c r="Y301" s="125"/>
      <c r="Z301" s="125"/>
      <c r="AA301" s="125"/>
      <c r="AB301" s="125"/>
      <c r="AC301" s="125"/>
      <c r="AD301" s="125"/>
      <c r="AE301" s="125"/>
      <c r="AF301" s="125"/>
      <c r="AG301" s="135"/>
      <c r="AH301" s="125"/>
      <c r="AI301" s="125"/>
      <c r="AJ301" s="125"/>
    </row>
    <row r="302" spans="1:36" s="124" customFormat="1" x14ac:dyDescent="0.2">
      <c r="A302" s="134"/>
      <c r="B302" s="125"/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25"/>
      <c r="V302" s="125"/>
      <c r="W302" s="125"/>
      <c r="X302" s="125"/>
      <c r="Y302" s="125"/>
      <c r="Z302" s="125"/>
      <c r="AA302" s="125"/>
      <c r="AB302" s="125"/>
      <c r="AC302" s="125"/>
      <c r="AD302" s="125"/>
      <c r="AE302" s="125"/>
      <c r="AF302" s="125"/>
      <c r="AG302" s="135"/>
      <c r="AH302" s="125"/>
      <c r="AI302" s="125"/>
      <c r="AJ302" s="125"/>
    </row>
    <row r="303" spans="1:36" s="124" customFormat="1" x14ac:dyDescent="0.2">
      <c r="A303" s="134"/>
      <c r="B303" s="125"/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25"/>
      <c r="V303" s="125"/>
      <c r="W303" s="125"/>
      <c r="X303" s="125"/>
      <c r="Y303" s="125"/>
      <c r="Z303" s="125"/>
      <c r="AA303" s="125"/>
      <c r="AB303" s="125"/>
      <c r="AC303" s="125"/>
      <c r="AD303" s="125"/>
      <c r="AE303" s="125"/>
      <c r="AF303" s="125"/>
      <c r="AG303" s="135"/>
      <c r="AH303" s="125"/>
      <c r="AI303" s="125"/>
      <c r="AJ303" s="125"/>
    </row>
    <row r="304" spans="1:36" s="124" customFormat="1" x14ac:dyDescent="0.2">
      <c r="A304" s="134"/>
      <c r="B304" s="125"/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25"/>
      <c r="V304" s="125"/>
      <c r="W304" s="125"/>
      <c r="X304" s="125"/>
      <c r="Y304" s="125"/>
      <c r="Z304" s="125"/>
      <c r="AA304" s="125"/>
      <c r="AB304" s="125"/>
      <c r="AC304" s="125"/>
      <c r="AD304" s="125"/>
      <c r="AE304" s="125"/>
      <c r="AF304" s="125"/>
      <c r="AG304" s="135"/>
      <c r="AH304" s="125"/>
      <c r="AI304" s="125"/>
      <c r="AJ304" s="125"/>
    </row>
    <row r="305" spans="1:36" s="124" customFormat="1" x14ac:dyDescent="0.2">
      <c r="A305" s="134"/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25"/>
      <c r="V305" s="125"/>
      <c r="W305" s="125"/>
      <c r="X305" s="125"/>
      <c r="Y305" s="125"/>
      <c r="Z305" s="125"/>
      <c r="AA305" s="125"/>
      <c r="AB305" s="125"/>
      <c r="AC305" s="125"/>
      <c r="AD305" s="125"/>
      <c r="AE305" s="125"/>
      <c r="AF305" s="125"/>
      <c r="AG305" s="135"/>
      <c r="AH305" s="125"/>
      <c r="AI305" s="125"/>
      <c r="AJ305" s="125"/>
    </row>
    <row r="306" spans="1:36" s="124" customFormat="1" x14ac:dyDescent="0.2">
      <c r="A306" s="134"/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25"/>
      <c r="V306" s="125"/>
      <c r="W306" s="125"/>
      <c r="X306" s="125"/>
      <c r="Y306" s="125"/>
      <c r="Z306" s="125"/>
      <c r="AA306" s="125"/>
      <c r="AB306" s="125"/>
      <c r="AC306" s="125"/>
      <c r="AD306" s="125"/>
      <c r="AE306" s="125"/>
      <c r="AF306" s="125"/>
      <c r="AG306" s="135"/>
      <c r="AH306" s="125"/>
      <c r="AI306" s="125"/>
      <c r="AJ306" s="125"/>
    </row>
    <row r="307" spans="1:36" s="124" customFormat="1" x14ac:dyDescent="0.2">
      <c r="A307" s="134"/>
      <c r="B307" s="125"/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25"/>
      <c r="V307" s="125"/>
      <c r="W307" s="125"/>
      <c r="X307" s="125"/>
      <c r="Y307" s="125"/>
      <c r="Z307" s="125"/>
      <c r="AA307" s="125"/>
      <c r="AB307" s="125"/>
      <c r="AC307" s="125"/>
      <c r="AD307" s="125"/>
      <c r="AE307" s="125"/>
      <c r="AF307" s="125"/>
      <c r="AG307" s="135"/>
      <c r="AH307" s="125"/>
      <c r="AI307" s="125"/>
      <c r="AJ307" s="125"/>
    </row>
    <row r="308" spans="1:36" s="124" customFormat="1" x14ac:dyDescent="0.2">
      <c r="A308" s="134"/>
      <c r="B308" s="125"/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25"/>
      <c r="V308" s="125"/>
      <c r="W308" s="125"/>
      <c r="X308" s="125"/>
      <c r="Y308" s="125"/>
      <c r="Z308" s="125"/>
      <c r="AA308" s="125"/>
      <c r="AB308" s="125"/>
      <c r="AC308" s="125"/>
      <c r="AD308" s="125"/>
      <c r="AE308" s="125"/>
      <c r="AF308" s="125"/>
      <c r="AG308" s="135"/>
      <c r="AH308" s="125"/>
      <c r="AI308" s="125"/>
      <c r="AJ308" s="125"/>
    </row>
    <row r="309" spans="1:36" s="124" customFormat="1" x14ac:dyDescent="0.2">
      <c r="A309" s="134"/>
      <c r="B309" s="125"/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25"/>
      <c r="V309" s="125"/>
      <c r="W309" s="125"/>
      <c r="X309" s="125"/>
      <c r="Y309" s="125"/>
      <c r="Z309" s="125"/>
      <c r="AA309" s="125"/>
      <c r="AB309" s="125"/>
      <c r="AC309" s="125"/>
      <c r="AD309" s="125"/>
      <c r="AE309" s="125"/>
      <c r="AF309" s="125"/>
      <c r="AG309" s="135"/>
      <c r="AH309" s="125"/>
      <c r="AI309" s="125"/>
      <c r="AJ309" s="125"/>
    </row>
    <row r="310" spans="1:36" s="124" customFormat="1" x14ac:dyDescent="0.2">
      <c r="A310" s="147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9"/>
      <c r="AH310" s="125"/>
      <c r="AI310" s="125"/>
      <c r="AJ310" s="125"/>
    </row>
    <row r="311" spans="1:36" s="124" customFormat="1" x14ac:dyDescent="0.2">
      <c r="A311" s="176"/>
      <c r="B311" s="193"/>
      <c r="C311" s="193"/>
      <c r="D311" s="193"/>
      <c r="E311" s="193"/>
      <c r="F311" s="193"/>
      <c r="G311" s="193"/>
      <c r="H311" s="193"/>
      <c r="I311" s="193"/>
      <c r="J311" s="193"/>
      <c r="K311" s="193"/>
      <c r="L311" s="193"/>
      <c r="M311" s="193"/>
      <c r="N311" s="193"/>
      <c r="O311" s="193"/>
      <c r="P311" s="193"/>
      <c r="Q311" s="193"/>
      <c r="R311" s="193"/>
      <c r="S311" s="193"/>
      <c r="T311" s="193"/>
      <c r="U311" s="193"/>
      <c r="V311" s="193"/>
      <c r="W311" s="193"/>
      <c r="X311" s="193"/>
      <c r="Y311" s="193"/>
      <c r="Z311" s="193"/>
      <c r="AA311" s="193"/>
      <c r="AB311" s="193"/>
      <c r="AC311" s="193"/>
      <c r="AD311" s="193"/>
      <c r="AE311" s="193"/>
      <c r="AF311" s="193"/>
      <c r="AG311" s="150"/>
      <c r="AH311" s="125"/>
      <c r="AI311" s="125"/>
      <c r="AJ311" s="125"/>
    </row>
    <row r="312" spans="1:36" s="124" customFormat="1" x14ac:dyDescent="0.2">
      <c r="A312" s="134"/>
      <c r="B312" s="35" t="s">
        <v>244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25"/>
      <c r="V312" s="125"/>
      <c r="W312" s="125"/>
      <c r="X312" s="125"/>
      <c r="Y312" s="125"/>
      <c r="Z312" s="125"/>
      <c r="AA312" s="125"/>
      <c r="AB312" s="125"/>
      <c r="AC312" s="125"/>
      <c r="AD312" s="125"/>
      <c r="AE312" s="125"/>
      <c r="AF312" s="125"/>
      <c r="AG312" s="135"/>
      <c r="AH312" s="125"/>
      <c r="AI312" s="125"/>
      <c r="AJ312" s="125"/>
    </row>
    <row r="313" spans="1:36" s="124" customFormat="1" x14ac:dyDescent="0.2">
      <c r="A313" s="134"/>
      <c r="B313" s="35" t="s">
        <v>238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25"/>
      <c r="V313" s="125"/>
      <c r="W313" s="125"/>
      <c r="X313" s="125"/>
      <c r="Y313" s="125"/>
      <c r="Z313" s="125"/>
      <c r="AA313" s="125"/>
      <c r="AB313" s="125"/>
      <c r="AC313" s="125"/>
      <c r="AD313" s="125"/>
      <c r="AE313" s="125"/>
      <c r="AF313" s="125"/>
      <c r="AG313" s="135"/>
      <c r="AH313" s="125"/>
      <c r="AI313" s="125"/>
      <c r="AJ313" s="125"/>
    </row>
    <row r="314" spans="1:36" s="124" customFormat="1" ht="12" x14ac:dyDescent="0.2">
      <c r="A314" s="134"/>
      <c r="B314" s="180" t="s">
        <v>245</v>
      </c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7"/>
      <c r="P314" s="66"/>
      <c r="Q314" s="66"/>
      <c r="R314" s="180" t="s">
        <v>246</v>
      </c>
      <c r="S314" s="66"/>
      <c r="T314" s="66"/>
      <c r="U314" s="67" t="s">
        <v>14</v>
      </c>
      <c r="V314" s="412">
        <f>0.6*Fy*(h*tw)*V315/1000</f>
        <v>112.88999848365783</v>
      </c>
      <c r="W314" s="413"/>
      <c r="X314" s="413"/>
      <c r="Y314" s="413"/>
      <c r="Z314" s="125"/>
      <c r="AA314" s="125"/>
      <c r="AB314" s="125"/>
      <c r="AC314" s="125"/>
      <c r="AD314" s="125"/>
      <c r="AE314" s="125"/>
      <c r="AF314" s="125"/>
      <c r="AG314" s="135"/>
      <c r="AH314" s="125"/>
      <c r="AI314" s="125"/>
      <c r="AJ314" s="125"/>
    </row>
    <row r="315" spans="1:36" s="124" customFormat="1" ht="12" x14ac:dyDescent="0.2">
      <c r="A315" s="134"/>
      <c r="B315" s="125"/>
      <c r="C315" s="125"/>
      <c r="D315" s="125"/>
      <c r="E315" s="125"/>
      <c r="F315" s="125"/>
      <c r="G315" s="125"/>
      <c r="H315" s="125"/>
      <c r="I315" s="125"/>
      <c r="J315" s="125"/>
      <c r="K315" s="125"/>
      <c r="L315" s="125"/>
      <c r="M315" s="125"/>
      <c r="N315" s="125"/>
      <c r="O315" s="125"/>
      <c r="P315" s="125"/>
      <c r="Q315" s="125"/>
      <c r="R315" s="180" t="s">
        <v>247</v>
      </c>
      <c r="S315" s="66"/>
      <c r="T315" s="66"/>
      <c r="U315" s="67" t="s">
        <v>14</v>
      </c>
      <c r="V315" s="414">
        <f>IF(M110&lt;=2.24*SQRT(E/Fy),1,IF(M110&lt;=1.1*SQRT(V316*E/Fy),1,IF(M110&lt;=1.37*SQRT(V316*E/Fy),(1.1*SQRT(V316*E/Fy)/M110),(1.51*V316*E/(M110^2*Fy)))))</f>
        <v>1</v>
      </c>
      <c r="W315" s="415"/>
      <c r="X315" s="415"/>
      <c r="Y315" s="415"/>
      <c r="Z315" s="125"/>
      <c r="AA315" s="125"/>
      <c r="AB315" s="125"/>
      <c r="AC315" s="125"/>
      <c r="AD315" s="125"/>
      <c r="AE315" s="125"/>
      <c r="AF315" s="158" t="str">
        <f>IF(M110&lt;=2.24*SQRT(E/Fy),"[G2-2]",IF(M110&lt;=1.1*SQRT(V316*E/Fy),"[G2-3]",IF(M110&lt;=1.37*SQRT(V316*E/Fy),"[G2-4]","[G2-5]")))</f>
        <v>[G2-2]</v>
      </c>
      <c r="AG315" s="135"/>
      <c r="AH315" s="125"/>
      <c r="AI315" s="125"/>
      <c r="AJ315" s="125"/>
    </row>
    <row r="316" spans="1:36" s="124" customFormat="1" ht="12" x14ac:dyDescent="0.2">
      <c r="A316" s="134"/>
      <c r="B316" s="125"/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80" t="s">
        <v>248</v>
      </c>
      <c r="S316" s="66"/>
      <c r="T316" s="66"/>
      <c r="U316" s="67" t="s">
        <v>14</v>
      </c>
      <c r="V316" s="414">
        <f>IF(X78="No",IF(V317/tw&lt;260,5),IF(OR(X81/V317&gt;3,X81/V317&gt;(260/(V317/tw))^2),5,5+(5/(X81/V317)^2)))</f>
        <v>5</v>
      </c>
      <c r="W316" s="415"/>
      <c r="X316" s="415"/>
      <c r="Y316" s="415"/>
      <c r="Z316" s="125"/>
      <c r="AA316" s="125"/>
      <c r="AB316" s="125"/>
      <c r="AC316" s="125"/>
      <c r="AD316" s="125"/>
      <c r="AE316" s="125"/>
      <c r="AF316" s="158" t="str">
        <f>IF(X78="No",IF(V317/tw&lt;260,"[G2.1b(i)]"),IF(OR(X81/V317&gt;3,X81/V317&gt;(260/(V317/tw))^2),"[G2.1b(ii)]","[G2-6]"))</f>
        <v>[G2.1b(ii)]</v>
      </c>
      <c r="AG316" s="135"/>
      <c r="AH316" s="125"/>
      <c r="AI316" s="125"/>
      <c r="AJ316" s="125"/>
    </row>
    <row r="317" spans="1:36" s="124" customFormat="1" x14ac:dyDescent="0.2">
      <c r="A317" s="134"/>
      <c r="B317" s="125"/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80" t="s">
        <v>86</v>
      </c>
      <c r="S317" s="66"/>
      <c r="T317" s="66"/>
      <c r="U317" s="67" t="s">
        <v>14</v>
      </c>
      <c r="V317" s="416">
        <f>(h-2*k)</f>
        <v>76.399999618530273</v>
      </c>
      <c r="W317" s="417"/>
      <c r="X317" s="417"/>
      <c r="Y317" s="417"/>
      <c r="Z317" s="125"/>
      <c r="AA317" s="125"/>
      <c r="AB317" s="125"/>
      <c r="AC317" s="125"/>
      <c r="AD317" s="125"/>
      <c r="AE317" s="125"/>
      <c r="AF317" s="158"/>
      <c r="AG317" s="135"/>
      <c r="AH317" s="125"/>
      <c r="AI317" s="125"/>
      <c r="AJ317" s="125"/>
    </row>
    <row r="318" spans="1:36" s="124" customFormat="1" x14ac:dyDescent="0.2">
      <c r="A318" s="134"/>
      <c r="B318" s="125"/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80"/>
      <c r="S318" s="66"/>
      <c r="T318" s="66"/>
      <c r="U318" s="67"/>
      <c r="V318" s="164"/>
      <c r="W318" s="165"/>
      <c r="X318" s="165"/>
      <c r="Y318" s="165"/>
      <c r="Z318" s="125"/>
      <c r="AA318" s="125"/>
      <c r="AB318" s="125"/>
      <c r="AC318" s="125"/>
      <c r="AD318" s="125"/>
      <c r="AE318" s="125"/>
      <c r="AF318" s="158"/>
      <c r="AG318" s="135"/>
      <c r="AH318" s="125"/>
      <c r="AI318" s="125"/>
      <c r="AJ318" s="125"/>
    </row>
    <row r="319" spans="1:36" s="124" customFormat="1" ht="12.75" x14ac:dyDescent="0.2">
      <c r="A319" s="134"/>
      <c r="B319" s="68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9"/>
      <c r="O319" s="70"/>
      <c r="P319" s="70"/>
      <c r="Q319" s="400" t="s">
        <v>16</v>
      </c>
      <c r="R319" s="401"/>
      <c r="S319" s="401"/>
      <c r="T319" s="401"/>
      <c r="U319" s="401"/>
      <c r="V319" s="401"/>
      <c r="W319" s="401"/>
      <c r="X319" s="402" t="s">
        <v>17</v>
      </c>
      <c r="Y319" s="401"/>
      <c r="Z319" s="401"/>
      <c r="AA319" s="401"/>
      <c r="AB319" s="401"/>
      <c r="AC319" s="401"/>
      <c r="AD319" s="401"/>
      <c r="AE319" s="401"/>
      <c r="AF319" s="401"/>
      <c r="AG319" s="135"/>
      <c r="AH319" s="125"/>
      <c r="AI319" s="125"/>
      <c r="AJ319" s="125"/>
    </row>
    <row r="320" spans="1:36" s="124" customFormat="1" ht="12.75" x14ac:dyDescent="0.2">
      <c r="A320" s="134"/>
      <c r="B320" s="403" t="s">
        <v>175</v>
      </c>
      <c r="C320" s="404"/>
      <c r="D320" s="404"/>
      <c r="E320" s="404"/>
      <c r="F320" s="404"/>
      <c r="G320" s="404"/>
      <c r="H320" s="404"/>
      <c r="I320" s="404"/>
      <c r="J320" s="404"/>
      <c r="K320" s="404"/>
      <c r="L320" s="404"/>
      <c r="M320" s="404"/>
      <c r="N320" s="404"/>
      <c r="O320" s="404"/>
      <c r="P320" s="404"/>
      <c r="Q320" s="405">
        <f>IF(AF315="[G2-2]",1.5,1.67)</f>
        <v>1.5</v>
      </c>
      <c r="R320" s="406"/>
      <c r="S320" s="406"/>
      <c r="T320" s="406"/>
      <c r="U320" s="406"/>
      <c r="V320" s="406"/>
      <c r="W320" s="406"/>
      <c r="X320" s="405">
        <f>IF(AF315="[G2-2]",1,0.9)</f>
        <v>1</v>
      </c>
      <c r="Y320" s="406"/>
      <c r="Z320" s="406"/>
      <c r="AA320" s="406"/>
      <c r="AB320" s="406"/>
      <c r="AC320" s="406"/>
      <c r="AD320" s="406"/>
      <c r="AE320" s="406"/>
      <c r="AF320" s="406"/>
      <c r="AG320" s="135"/>
      <c r="AH320" s="125"/>
      <c r="AI320" s="125"/>
      <c r="AJ320" s="125"/>
    </row>
    <row r="321" spans="1:36" s="124" customFormat="1" ht="12.75" x14ac:dyDescent="0.2">
      <c r="A321" s="134"/>
      <c r="B321" s="407" t="s">
        <v>18</v>
      </c>
      <c r="C321" s="404"/>
      <c r="D321" s="404"/>
      <c r="E321" s="404"/>
      <c r="F321" s="404"/>
      <c r="G321" s="404"/>
      <c r="H321" s="404"/>
      <c r="I321" s="404"/>
      <c r="J321" s="404"/>
      <c r="K321" s="404"/>
      <c r="L321" s="404"/>
      <c r="M321" s="404"/>
      <c r="N321" s="404"/>
      <c r="O321" s="404"/>
      <c r="P321" s="404"/>
      <c r="Q321" s="408">
        <f>V314/Q320</f>
        <v>75.259998989105227</v>
      </c>
      <c r="R321" s="409"/>
      <c r="S321" s="409"/>
      <c r="T321" s="409"/>
      <c r="U321" s="409"/>
      <c r="V321" s="409"/>
      <c r="W321" s="409"/>
      <c r="X321" s="408">
        <f>X320*V314</f>
        <v>112.88999848365783</v>
      </c>
      <c r="Y321" s="409"/>
      <c r="Z321" s="409"/>
      <c r="AA321" s="409"/>
      <c r="AB321" s="409"/>
      <c r="AC321" s="409"/>
      <c r="AD321" s="409"/>
      <c r="AE321" s="409"/>
      <c r="AF321" s="409"/>
      <c r="AG321" s="135"/>
      <c r="AH321" s="125"/>
      <c r="AI321" s="125"/>
      <c r="AJ321" s="125"/>
    </row>
    <row r="322" spans="1:36" s="124" customFormat="1" x14ac:dyDescent="0.2">
      <c r="A322" s="134"/>
      <c r="B322" s="125"/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25"/>
      <c r="V322" s="125"/>
      <c r="W322" s="125"/>
      <c r="X322" s="125"/>
      <c r="Y322" s="125"/>
      <c r="Z322" s="125"/>
      <c r="AA322" s="125"/>
      <c r="AB322" s="125"/>
      <c r="AC322" s="125"/>
      <c r="AD322" s="125"/>
      <c r="AE322" s="125"/>
      <c r="AF322" s="125"/>
      <c r="AG322" s="135"/>
      <c r="AH322" s="125"/>
      <c r="AI322" s="125"/>
      <c r="AJ322" s="125"/>
    </row>
    <row r="323" spans="1:36" s="124" customFormat="1" x14ac:dyDescent="0.2">
      <c r="A323" s="134"/>
      <c r="B323" s="35" t="s">
        <v>257</v>
      </c>
      <c r="C323" s="125"/>
      <c r="D323" s="125"/>
      <c r="E323" s="125"/>
      <c r="F323" s="125"/>
      <c r="G323" s="125"/>
      <c r="H323" s="125"/>
      <c r="I323" s="125"/>
      <c r="J323" s="125"/>
      <c r="K323" s="125"/>
      <c r="L323" s="125"/>
      <c r="M323" s="125"/>
      <c r="N323" s="125"/>
      <c r="O323" s="125"/>
      <c r="P323" s="125"/>
      <c r="Q323" s="125"/>
      <c r="R323" s="125"/>
      <c r="S323" s="125"/>
      <c r="T323" s="125"/>
      <c r="U323" s="125"/>
      <c r="V323" s="125"/>
      <c r="W323" s="125"/>
      <c r="X323" s="125"/>
      <c r="Y323" s="125"/>
      <c r="Z323" s="125"/>
      <c r="AA323" s="125"/>
      <c r="AB323" s="125"/>
      <c r="AC323" s="125"/>
      <c r="AD323" s="125"/>
      <c r="AE323" s="125"/>
      <c r="AF323" s="158" t="str">
        <f>IF(OR(IF(DesignMethod="ASD",Q321,X321)&lt;X82,M110&gt;2.46*SQRT(E/Fy)),"[Required]","[Not Required]")</f>
        <v>[Required]</v>
      </c>
      <c r="AG323" s="135"/>
      <c r="AH323" s="125"/>
      <c r="AI323" s="125"/>
      <c r="AJ323" s="125"/>
    </row>
    <row r="324" spans="1:36" s="124" customFormat="1" ht="12" x14ac:dyDescent="0.2">
      <c r="A324" s="134"/>
      <c r="B324" s="180" t="s">
        <v>259</v>
      </c>
      <c r="C324" s="125"/>
      <c r="D324" s="125"/>
      <c r="E324" s="125"/>
      <c r="F324" s="125"/>
      <c r="G324" s="125"/>
      <c r="H324" s="125"/>
      <c r="I324" s="125"/>
      <c r="J324" s="125"/>
      <c r="K324" s="125"/>
      <c r="L324" s="125"/>
      <c r="M324" s="125"/>
      <c r="N324" s="125"/>
      <c r="O324" s="125"/>
      <c r="P324" s="125"/>
      <c r="Q324" s="125"/>
      <c r="R324" s="180" t="s">
        <v>261</v>
      </c>
      <c r="S324" s="125"/>
      <c r="T324" s="125"/>
      <c r="U324" s="199" t="s">
        <v>262</v>
      </c>
      <c r="V324" s="414">
        <f>V326*tw^3*V325</f>
        <v>13672.199580797587</v>
      </c>
      <c r="W324" s="415"/>
      <c r="X324" s="415"/>
      <c r="Y324" s="415"/>
      <c r="Z324" s="180" t="s">
        <v>84</v>
      </c>
      <c r="AA324" s="125"/>
      <c r="AB324" s="125"/>
      <c r="AC324" s="125"/>
      <c r="AD324" s="125"/>
      <c r="AE324" s="125"/>
      <c r="AF324" s="198" t="s">
        <v>260</v>
      </c>
      <c r="AG324" s="135"/>
      <c r="AH324" s="125"/>
      <c r="AI324" s="125"/>
      <c r="AJ324" s="125"/>
    </row>
    <row r="325" spans="1:36" s="124" customFormat="1" x14ac:dyDescent="0.2">
      <c r="A325" s="134"/>
      <c r="B325" s="125"/>
      <c r="C325" s="125"/>
      <c r="D325" s="125"/>
      <c r="E325" s="125"/>
      <c r="F325" s="125"/>
      <c r="G325" s="125"/>
      <c r="H325" s="125"/>
      <c r="I325" s="125"/>
      <c r="J325" s="125"/>
      <c r="K325" s="125"/>
      <c r="L325" s="125"/>
      <c r="M325" s="125"/>
      <c r="N325" s="125"/>
      <c r="O325" s="125"/>
      <c r="P325" s="125"/>
      <c r="Q325" s="125"/>
      <c r="R325" s="180" t="s">
        <v>264</v>
      </c>
      <c r="S325" s="66"/>
      <c r="T325" s="66"/>
      <c r="U325" s="67" t="s">
        <v>14</v>
      </c>
      <c r="V325" s="414">
        <f>MAX((2.5/(X81/V317)^2-2),0.5)</f>
        <v>0.5</v>
      </c>
      <c r="W325" s="415"/>
      <c r="X325" s="415"/>
      <c r="Y325" s="415"/>
      <c r="Z325" s="125"/>
      <c r="AA325" s="125"/>
      <c r="AB325" s="125"/>
      <c r="AC325" s="125"/>
      <c r="AD325" s="125"/>
      <c r="AE325" s="125"/>
      <c r="AF325" s="198" t="s">
        <v>263</v>
      </c>
      <c r="AG325" s="135"/>
      <c r="AH325" s="125"/>
      <c r="AI325" s="125"/>
      <c r="AJ325" s="125"/>
    </row>
    <row r="326" spans="1:36" s="124" customFormat="1" x14ac:dyDescent="0.2">
      <c r="A326" s="134"/>
      <c r="B326" s="125"/>
      <c r="C326" s="125"/>
      <c r="D326" s="125"/>
      <c r="E326" s="125"/>
      <c r="F326" s="125"/>
      <c r="G326" s="125"/>
      <c r="H326" s="125"/>
      <c r="I326" s="125"/>
      <c r="J326" s="125"/>
      <c r="K326" s="125"/>
      <c r="L326" s="125"/>
      <c r="M326" s="125"/>
      <c r="N326" s="125"/>
      <c r="O326" s="125"/>
      <c r="P326" s="125"/>
      <c r="Q326" s="125"/>
      <c r="R326" s="180" t="s">
        <v>87</v>
      </c>
      <c r="S326" s="66"/>
      <c r="T326" s="66"/>
      <c r="U326" s="67" t="s">
        <v>14</v>
      </c>
      <c r="V326" s="416">
        <f>MIN(X81,V317)</f>
        <v>76.399999618530273</v>
      </c>
      <c r="W326" s="417"/>
      <c r="X326" s="417"/>
      <c r="Y326" s="417"/>
      <c r="Z326" s="125"/>
      <c r="AA326" s="125"/>
      <c r="AB326" s="125"/>
      <c r="AC326" s="125"/>
      <c r="AD326" s="125"/>
      <c r="AE326" s="125"/>
      <c r="AF326" s="125"/>
      <c r="AG326" s="135"/>
      <c r="AH326" s="125"/>
      <c r="AI326" s="125"/>
      <c r="AJ326" s="125"/>
    </row>
    <row r="327" spans="1:36" s="124" customFormat="1" x14ac:dyDescent="0.2">
      <c r="A327" s="134"/>
      <c r="B327" s="125"/>
      <c r="C327" s="125"/>
      <c r="D327" s="125"/>
      <c r="E327" s="125"/>
      <c r="F327" s="125"/>
      <c r="G327" s="125"/>
      <c r="H327" s="125"/>
      <c r="I327" s="125"/>
      <c r="J327" s="125"/>
      <c r="K327" s="125"/>
      <c r="L327" s="125"/>
      <c r="M327" s="125"/>
      <c r="N327" s="125"/>
      <c r="O327" s="125"/>
      <c r="P327" s="125"/>
      <c r="Q327" s="125"/>
      <c r="R327" s="125"/>
      <c r="S327" s="125"/>
      <c r="T327" s="125"/>
      <c r="U327" s="125"/>
      <c r="V327" s="125"/>
      <c r="W327" s="125"/>
      <c r="X327" s="125"/>
      <c r="Y327" s="125"/>
      <c r="Z327" s="125"/>
      <c r="AA327" s="125"/>
      <c r="AB327" s="125"/>
      <c r="AC327" s="125"/>
      <c r="AD327" s="125"/>
      <c r="AE327" s="125"/>
      <c r="AF327" s="125"/>
      <c r="AG327" s="135"/>
      <c r="AH327" s="125"/>
      <c r="AI327" s="125"/>
      <c r="AJ327" s="125"/>
    </row>
    <row r="328" spans="1:36" s="124" customFormat="1" ht="12" x14ac:dyDescent="0.2">
      <c r="A328" s="134"/>
      <c r="B328" s="180" t="s">
        <v>259</v>
      </c>
      <c r="C328" s="125"/>
      <c r="D328" s="125"/>
      <c r="E328" s="125"/>
      <c r="F328" s="125"/>
      <c r="G328" s="125"/>
      <c r="H328" s="125"/>
      <c r="I328" s="125"/>
      <c r="J328" s="125"/>
      <c r="K328" s="125"/>
      <c r="L328" s="125"/>
      <c r="M328" s="125"/>
      <c r="N328" s="125"/>
      <c r="O328" s="125"/>
      <c r="P328" s="125"/>
      <c r="Q328" s="125"/>
      <c r="R328" s="180" t="s">
        <v>270</v>
      </c>
      <c r="S328" s="125"/>
      <c r="T328" s="125"/>
      <c r="U328" s="67" t="s">
        <v>14</v>
      </c>
      <c r="V328" s="414">
        <f>V330*tw^3*V329</f>
        <v>0</v>
      </c>
      <c r="W328" s="415"/>
      <c r="X328" s="415"/>
      <c r="Y328" s="415"/>
      <c r="Z328" s="180" t="s">
        <v>84</v>
      </c>
      <c r="AA328" s="125"/>
      <c r="AB328" s="125"/>
      <c r="AC328" s="125"/>
      <c r="AD328" s="125"/>
      <c r="AE328" s="125"/>
      <c r="AF328" s="198" t="str">
        <f>IF(AF323="[Required]",IF(V328&gt;=V324,"[OK]","[Check]"),"[NA]")</f>
        <v>[Check]</v>
      </c>
      <c r="AG328" s="135"/>
      <c r="AH328" s="125"/>
      <c r="AI328" s="125"/>
      <c r="AJ328" s="125"/>
    </row>
    <row r="329" spans="1:36" s="124" customFormat="1" x14ac:dyDescent="0.2">
      <c r="A329" s="134"/>
      <c r="B329" s="125"/>
      <c r="C329" s="125"/>
      <c r="D329" s="125"/>
      <c r="E329" s="125"/>
      <c r="F329" s="125"/>
      <c r="G329" s="125"/>
      <c r="H329" s="125"/>
      <c r="I329" s="125"/>
      <c r="J329" s="125"/>
      <c r="K329" s="125"/>
      <c r="L329" s="125"/>
      <c r="M329" s="125"/>
      <c r="N329" s="125"/>
      <c r="O329" s="125"/>
      <c r="P329" s="125"/>
      <c r="Q329" s="125"/>
      <c r="R329" s="125"/>
      <c r="S329" s="125"/>
      <c r="T329" s="125"/>
      <c r="U329" s="125"/>
      <c r="V329" s="125"/>
      <c r="W329" s="125"/>
      <c r="X329" s="125"/>
      <c r="Y329" s="125"/>
      <c r="Z329" s="125"/>
      <c r="AA329" s="125"/>
      <c r="AB329" s="125"/>
      <c r="AC329" s="125"/>
      <c r="AD329" s="125"/>
      <c r="AE329" s="125"/>
      <c r="AF329" s="125"/>
      <c r="AG329" s="135"/>
      <c r="AH329" s="125"/>
      <c r="AI329" s="125"/>
      <c r="AJ329" s="125"/>
    </row>
    <row r="330" spans="1:36" s="124" customFormat="1" x14ac:dyDescent="0.2">
      <c r="A330" s="134"/>
      <c r="B330" s="35" t="s">
        <v>271</v>
      </c>
      <c r="C330" s="125"/>
      <c r="D330" s="125"/>
      <c r="E330" s="125"/>
      <c r="F330" s="125"/>
      <c r="G330" s="125"/>
      <c r="H330" s="125"/>
      <c r="I330" s="125"/>
      <c r="J330" s="125"/>
      <c r="K330" s="125"/>
      <c r="L330" s="125"/>
      <c r="M330" s="125"/>
      <c r="N330" s="125"/>
      <c r="O330" s="125"/>
      <c r="P330" s="125"/>
      <c r="Q330" s="125"/>
      <c r="R330" s="125"/>
      <c r="S330" s="125"/>
      <c r="T330" s="125"/>
      <c r="U330" s="125"/>
      <c r="V330" s="125"/>
      <c r="W330" s="125"/>
      <c r="X330" s="125"/>
      <c r="Y330" s="125"/>
      <c r="Z330" s="125"/>
      <c r="AA330" s="125"/>
      <c r="AB330" s="125"/>
      <c r="AC330" s="125"/>
      <c r="AD330" s="125"/>
      <c r="AE330" s="125"/>
      <c r="AF330" s="125"/>
      <c r="AG330" s="135"/>
      <c r="AH330" s="125"/>
      <c r="AI330" s="125"/>
      <c r="AJ330" s="125"/>
    </row>
    <row r="331" spans="1:36" s="124" customFormat="1" x14ac:dyDescent="0.2">
      <c r="A331" s="134"/>
      <c r="B331" s="35" t="s">
        <v>272</v>
      </c>
      <c r="C331" s="125"/>
      <c r="D331" s="125"/>
      <c r="E331" s="125"/>
      <c r="F331" s="125"/>
      <c r="G331" s="125"/>
      <c r="H331" s="125"/>
      <c r="I331" s="125"/>
      <c r="J331" s="125"/>
      <c r="K331" s="125"/>
      <c r="L331" s="125"/>
      <c r="M331" s="125"/>
      <c r="N331" s="125"/>
      <c r="O331" s="125"/>
      <c r="P331" s="125"/>
      <c r="Q331" s="125"/>
      <c r="R331" s="125"/>
      <c r="S331" s="125"/>
      <c r="T331" s="125"/>
      <c r="U331" s="125"/>
      <c r="V331" s="125"/>
      <c r="W331" s="125"/>
      <c r="X331" s="125"/>
      <c r="Y331" s="125"/>
      <c r="Z331" s="125"/>
      <c r="AA331" s="125"/>
      <c r="AB331" s="125"/>
      <c r="AC331" s="125"/>
      <c r="AD331" s="125"/>
      <c r="AE331" s="125"/>
      <c r="AF331" s="125"/>
      <c r="AG331" s="135"/>
      <c r="AH331" s="125"/>
      <c r="AI331" s="125"/>
      <c r="AJ331" s="125"/>
    </row>
    <row r="332" spans="1:36" s="124" customFormat="1" ht="12" x14ac:dyDescent="0.2">
      <c r="A332" s="134"/>
      <c r="B332" s="180" t="s">
        <v>245</v>
      </c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7"/>
      <c r="P332" s="66"/>
      <c r="Q332" s="66"/>
      <c r="R332" s="180" t="s">
        <v>246</v>
      </c>
      <c r="S332" s="66"/>
      <c r="T332" s="66"/>
      <c r="U332" s="67" t="s">
        <v>14</v>
      </c>
      <c r="V332" s="412">
        <f>0.6*Fy*(bf*tf)*V333/1000</f>
        <v>135.96000294685365</v>
      </c>
      <c r="W332" s="413"/>
      <c r="X332" s="413"/>
      <c r="Y332" s="413"/>
      <c r="Z332" s="125"/>
      <c r="AA332" s="125"/>
      <c r="AB332" s="125"/>
      <c r="AC332" s="125"/>
      <c r="AD332" s="125"/>
      <c r="AE332" s="125"/>
      <c r="AF332" s="125"/>
      <c r="AG332" s="135"/>
      <c r="AH332" s="125"/>
      <c r="AI332" s="125"/>
      <c r="AJ332" s="125"/>
    </row>
    <row r="333" spans="1:36" s="124" customFormat="1" ht="12" x14ac:dyDescent="0.2">
      <c r="A333" s="134"/>
      <c r="B333" s="125"/>
      <c r="C333" s="125"/>
      <c r="D333" s="125"/>
      <c r="E333" s="125"/>
      <c r="F333" s="125"/>
      <c r="G333" s="125"/>
      <c r="H333" s="125"/>
      <c r="I333" s="125"/>
      <c r="J333" s="125"/>
      <c r="K333" s="125"/>
      <c r="L333" s="125"/>
      <c r="M333" s="125"/>
      <c r="N333" s="125"/>
      <c r="O333" s="125"/>
      <c r="P333" s="125"/>
      <c r="Q333" s="125"/>
      <c r="R333" s="180" t="s">
        <v>247</v>
      </c>
      <c r="S333" s="66"/>
      <c r="T333" s="66"/>
      <c r="U333" s="67" t="s">
        <v>14</v>
      </c>
      <c r="V333" s="414">
        <f>IF(M109&lt;=2.24*SQRT(E/Fy),1,IF(M109&lt;=1.1*SQRT(V334*E/Fy),1,IF(M109&lt;=1.37*SQRT(V334*E/Fy),(1.1*SQRT(V334*E/Fy)/M109),(1.51*V334*E/(M109^2*Fy)))))</f>
        <v>1</v>
      </c>
      <c r="W333" s="415"/>
      <c r="X333" s="415"/>
      <c r="Y333" s="415"/>
      <c r="Z333" s="125"/>
      <c r="AA333" s="125"/>
      <c r="AB333" s="125"/>
      <c r="AC333" s="125"/>
      <c r="AD333" s="125"/>
      <c r="AE333" s="125"/>
      <c r="AF333" s="158" t="str">
        <f>IF(M109&lt;=2.24*SQRT(E/Fy),"[G2-2]",IF(M109&lt;=1.1*SQRT(V334*E/Fy),"[G2-3]",IF(M109&lt;=1.37*SQRT(V334*E/Fy),"[G2-4]","[G2-5]")))</f>
        <v>[G2-2]</v>
      </c>
      <c r="AG333" s="135"/>
      <c r="AH333" s="125"/>
      <c r="AI333" s="125"/>
      <c r="AJ333" s="125"/>
    </row>
    <row r="334" spans="1:36" s="124" customFormat="1" ht="12" x14ac:dyDescent="0.2">
      <c r="A334" s="134"/>
      <c r="B334" s="125"/>
      <c r="C334" s="125"/>
      <c r="D334" s="125"/>
      <c r="E334" s="125"/>
      <c r="F334" s="125"/>
      <c r="G334" s="125"/>
      <c r="H334" s="125"/>
      <c r="I334" s="125"/>
      <c r="J334" s="125"/>
      <c r="K334" s="125"/>
      <c r="L334" s="125"/>
      <c r="M334" s="125"/>
      <c r="N334" s="125"/>
      <c r="O334" s="125"/>
      <c r="P334" s="125"/>
      <c r="Q334" s="125"/>
      <c r="R334" s="180" t="s">
        <v>248</v>
      </c>
      <c r="S334" s="66"/>
      <c r="T334" s="66"/>
      <c r="U334" s="67" t="s">
        <v>14</v>
      </c>
      <c r="V334" s="414">
        <v>1.2</v>
      </c>
      <c r="W334" s="415"/>
      <c r="X334" s="415"/>
      <c r="Y334" s="415"/>
      <c r="Z334" s="125"/>
      <c r="AA334" s="125"/>
      <c r="AB334" s="125"/>
      <c r="AC334" s="125"/>
      <c r="AD334" s="125"/>
      <c r="AE334" s="125"/>
      <c r="AF334" s="198" t="s">
        <v>273</v>
      </c>
      <c r="AG334" s="135"/>
      <c r="AH334" s="125"/>
      <c r="AI334" s="125"/>
      <c r="AJ334" s="125"/>
    </row>
    <row r="335" spans="1:36" s="124" customFormat="1" x14ac:dyDescent="0.2">
      <c r="A335" s="134"/>
      <c r="B335" s="125"/>
      <c r="C335" s="125"/>
      <c r="D335" s="125"/>
      <c r="E335" s="125"/>
      <c r="F335" s="125"/>
      <c r="G335" s="125"/>
      <c r="H335" s="125"/>
      <c r="I335" s="125"/>
      <c r="J335" s="125"/>
      <c r="K335" s="125"/>
      <c r="L335" s="125"/>
      <c r="M335" s="125"/>
      <c r="N335" s="125"/>
      <c r="O335" s="125"/>
      <c r="P335" s="125"/>
      <c r="Q335" s="125"/>
      <c r="R335" s="180"/>
      <c r="S335" s="66"/>
      <c r="T335" s="66"/>
      <c r="U335" s="67"/>
      <c r="V335" s="164"/>
      <c r="W335" s="165"/>
      <c r="X335" s="165"/>
      <c r="Y335" s="165"/>
      <c r="Z335" s="125"/>
      <c r="AA335" s="125"/>
      <c r="AB335" s="125"/>
      <c r="AC335" s="125"/>
      <c r="AD335" s="125"/>
      <c r="AE335" s="125"/>
      <c r="AF335" s="158"/>
      <c r="AG335" s="135"/>
      <c r="AH335" s="125"/>
      <c r="AI335" s="125"/>
      <c r="AJ335" s="125"/>
    </row>
    <row r="336" spans="1:36" s="124" customFormat="1" ht="12.75" x14ac:dyDescent="0.2">
      <c r="A336" s="134"/>
      <c r="B336" s="68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9"/>
      <c r="O336" s="70"/>
      <c r="P336" s="70"/>
      <c r="Q336" s="400" t="s">
        <v>16</v>
      </c>
      <c r="R336" s="401"/>
      <c r="S336" s="401"/>
      <c r="T336" s="401"/>
      <c r="U336" s="401"/>
      <c r="V336" s="401"/>
      <c r="W336" s="401"/>
      <c r="X336" s="402" t="s">
        <v>17</v>
      </c>
      <c r="Y336" s="401"/>
      <c r="Z336" s="401"/>
      <c r="AA336" s="401"/>
      <c r="AB336" s="401"/>
      <c r="AC336" s="401"/>
      <c r="AD336" s="401"/>
      <c r="AE336" s="401"/>
      <c r="AF336" s="401"/>
      <c r="AG336" s="135"/>
      <c r="AH336" s="125"/>
      <c r="AI336" s="125"/>
      <c r="AJ336" s="125"/>
    </row>
    <row r="337" spans="1:36" s="124" customFormat="1" ht="12.75" x14ac:dyDescent="0.2">
      <c r="A337" s="134"/>
      <c r="B337" s="403" t="s">
        <v>175</v>
      </c>
      <c r="C337" s="404"/>
      <c r="D337" s="404"/>
      <c r="E337" s="404"/>
      <c r="F337" s="404"/>
      <c r="G337" s="404"/>
      <c r="H337" s="404"/>
      <c r="I337" s="404"/>
      <c r="J337" s="404"/>
      <c r="K337" s="404"/>
      <c r="L337" s="404"/>
      <c r="M337" s="404"/>
      <c r="N337" s="404"/>
      <c r="O337" s="404"/>
      <c r="P337" s="404"/>
      <c r="Q337" s="405">
        <f>IF(AF333="[G2-2]",1.5,1.67)</f>
        <v>1.5</v>
      </c>
      <c r="R337" s="406"/>
      <c r="S337" s="406"/>
      <c r="T337" s="406"/>
      <c r="U337" s="406"/>
      <c r="V337" s="406"/>
      <c r="W337" s="406"/>
      <c r="X337" s="405">
        <f>IF(AF333="[G2-2]",1,0.9)</f>
        <v>1</v>
      </c>
      <c r="Y337" s="406"/>
      <c r="Z337" s="406"/>
      <c r="AA337" s="406"/>
      <c r="AB337" s="406"/>
      <c r="AC337" s="406"/>
      <c r="AD337" s="406"/>
      <c r="AE337" s="406"/>
      <c r="AF337" s="406"/>
      <c r="AG337" s="135"/>
      <c r="AH337" s="125"/>
      <c r="AI337" s="125"/>
      <c r="AJ337" s="125"/>
    </row>
    <row r="338" spans="1:36" s="124" customFormat="1" ht="12.75" x14ac:dyDescent="0.2">
      <c r="A338" s="134"/>
      <c r="B338" s="407" t="s">
        <v>18</v>
      </c>
      <c r="C338" s="404"/>
      <c r="D338" s="404"/>
      <c r="E338" s="404"/>
      <c r="F338" s="404"/>
      <c r="G338" s="404"/>
      <c r="H338" s="404"/>
      <c r="I338" s="404"/>
      <c r="J338" s="404"/>
      <c r="K338" s="404"/>
      <c r="L338" s="404"/>
      <c r="M338" s="404"/>
      <c r="N338" s="404"/>
      <c r="O338" s="404"/>
      <c r="P338" s="404"/>
      <c r="Q338" s="408">
        <f>2*(V332/Q337)</f>
        <v>181.28000392913819</v>
      </c>
      <c r="R338" s="409"/>
      <c r="S338" s="409"/>
      <c r="T338" s="409"/>
      <c r="U338" s="409"/>
      <c r="V338" s="409"/>
      <c r="W338" s="409"/>
      <c r="X338" s="408">
        <f>2*(X337*V332)</f>
        <v>271.9200058937073</v>
      </c>
      <c r="Y338" s="409"/>
      <c r="Z338" s="409"/>
      <c r="AA338" s="409"/>
      <c r="AB338" s="409"/>
      <c r="AC338" s="409"/>
      <c r="AD338" s="409"/>
      <c r="AE338" s="409"/>
      <c r="AF338" s="409"/>
      <c r="AG338" s="135"/>
      <c r="AH338" s="125"/>
      <c r="AI338" s="125"/>
      <c r="AJ338" s="125"/>
    </row>
    <row r="339" spans="1:36" s="124" customFormat="1" ht="12.75" x14ac:dyDescent="0.2">
      <c r="A339" s="134"/>
      <c r="B339" s="424" t="s">
        <v>274</v>
      </c>
      <c r="C339" s="425"/>
      <c r="D339" s="425"/>
      <c r="E339" s="425"/>
      <c r="F339" s="425"/>
      <c r="G339" s="425"/>
      <c r="H339" s="425"/>
      <c r="I339" s="425"/>
      <c r="J339" s="425"/>
      <c r="K339" s="425"/>
      <c r="L339" s="425"/>
      <c r="M339" s="425"/>
      <c r="N339" s="425"/>
      <c r="O339" s="425"/>
      <c r="P339" s="425"/>
      <c r="Q339" s="426"/>
      <c r="R339" s="426"/>
      <c r="S339" s="426"/>
      <c r="T339" s="426"/>
      <c r="U339" s="426"/>
      <c r="V339" s="426"/>
      <c r="W339" s="426"/>
      <c r="X339" s="426"/>
      <c r="Y339" s="426"/>
      <c r="Z339" s="426"/>
      <c r="AA339" s="426"/>
      <c r="AB339" s="426"/>
      <c r="AC339" s="426"/>
      <c r="AD339" s="426"/>
      <c r="AE339" s="426"/>
      <c r="AF339" s="427"/>
      <c r="AG339" s="135"/>
      <c r="AH339" s="125"/>
      <c r="AI339" s="125"/>
      <c r="AJ339" s="125"/>
    </row>
    <row r="340" spans="1:36" s="124" customFormat="1" x14ac:dyDescent="0.2">
      <c r="A340" s="134"/>
      <c r="B340" s="125"/>
      <c r="C340" s="125"/>
      <c r="D340" s="125"/>
      <c r="E340" s="125"/>
      <c r="F340" s="125"/>
      <c r="G340" s="125"/>
      <c r="H340" s="125"/>
      <c r="I340" s="125"/>
      <c r="J340" s="125"/>
      <c r="K340" s="125"/>
      <c r="L340" s="125"/>
      <c r="M340" s="125"/>
      <c r="N340" s="125"/>
      <c r="O340" s="125"/>
      <c r="P340" s="125"/>
      <c r="Q340" s="125"/>
      <c r="R340" s="125"/>
      <c r="S340" s="125"/>
      <c r="T340" s="125"/>
      <c r="U340" s="125"/>
      <c r="V340" s="125"/>
      <c r="W340" s="125"/>
      <c r="X340" s="125"/>
      <c r="Y340" s="125"/>
      <c r="Z340" s="125"/>
      <c r="AA340" s="125"/>
      <c r="AB340" s="125"/>
      <c r="AC340" s="125"/>
      <c r="AD340" s="125"/>
      <c r="AE340" s="125"/>
      <c r="AF340" s="125"/>
      <c r="AG340" s="135"/>
      <c r="AH340" s="125"/>
      <c r="AI340" s="125"/>
      <c r="AJ340" s="125"/>
    </row>
    <row r="341" spans="1:36" s="124" customFormat="1" x14ac:dyDescent="0.2">
      <c r="A341" s="134"/>
      <c r="B341" s="125"/>
      <c r="C341" s="125"/>
      <c r="D341" s="125"/>
      <c r="E341" s="125"/>
      <c r="F341" s="125"/>
      <c r="G341" s="125"/>
      <c r="H341" s="125"/>
      <c r="I341" s="125"/>
      <c r="J341" s="125"/>
      <c r="K341" s="125"/>
      <c r="L341" s="125"/>
      <c r="M341" s="125"/>
      <c r="N341" s="125"/>
      <c r="O341" s="125"/>
      <c r="P341" s="125"/>
      <c r="Q341" s="125"/>
      <c r="R341" s="125"/>
      <c r="S341" s="125"/>
      <c r="T341" s="125"/>
      <c r="U341" s="125"/>
      <c r="V341" s="125"/>
      <c r="W341" s="125"/>
      <c r="X341" s="125"/>
      <c r="Y341" s="125"/>
      <c r="Z341" s="125"/>
      <c r="AA341" s="125"/>
      <c r="AB341" s="125"/>
      <c r="AC341" s="125"/>
      <c r="AD341" s="125"/>
      <c r="AE341" s="125"/>
      <c r="AF341" s="125"/>
      <c r="AG341" s="135"/>
      <c r="AH341" s="125"/>
      <c r="AI341" s="125"/>
      <c r="AJ341" s="125"/>
    </row>
    <row r="342" spans="1:36" s="124" customFormat="1" x14ac:dyDescent="0.2">
      <c r="A342" s="134"/>
      <c r="B342" s="125"/>
      <c r="C342" s="125"/>
      <c r="D342" s="125"/>
      <c r="E342" s="125"/>
      <c r="F342" s="125"/>
      <c r="G342" s="125"/>
      <c r="H342" s="125"/>
      <c r="I342" s="125"/>
      <c r="J342" s="125"/>
      <c r="K342" s="125"/>
      <c r="L342" s="125"/>
      <c r="M342" s="125"/>
      <c r="N342" s="125"/>
      <c r="O342" s="125"/>
      <c r="P342" s="125"/>
      <c r="Q342" s="125"/>
      <c r="R342" s="125"/>
      <c r="S342" s="125"/>
      <c r="T342" s="125"/>
      <c r="U342" s="125"/>
      <c r="V342" s="125"/>
      <c r="W342" s="125"/>
      <c r="X342" s="125"/>
      <c r="Y342" s="125"/>
      <c r="Z342" s="125"/>
      <c r="AA342" s="125"/>
      <c r="AB342" s="125"/>
      <c r="AC342" s="125"/>
      <c r="AD342" s="125"/>
      <c r="AE342" s="125"/>
      <c r="AF342" s="125"/>
      <c r="AG342" s="135"/>
      <c r="AH342" s="125"/>
      <c r="AI342" s="125"/>
      <c r="AJ342" s="125"/>
    </row>
    <row r="343" spans="1:36" s="124" customFormat="1" x14ac:dyDescent="0.2">
      <c r="A343" s="134"/>
      <c r="B343" s="125"/>
      <c r="C343" s="125"/>
      <c r="D343" s="125"/>
      <c r="E343" s="125"/>
      <c r="F343" s="125"/>
      <c r="G343" s="125"/>
      <c r="H343" s="125"/>
      <c r="I343" s="125"/>
      <c r="J343" s="125"/>
      <c r="K343" s="125"/>
      <c r="L343" s="125"/>
      <c r="M343" s="125"/>
      <c r="N343" s="125"/>
      <c r="O343" s="125"/>
      <c r="P343" s="125"/>
      <c r="Q343" s="125"/>
      <c r="R343" s="125"/>
      <c r="S343" s="125"/>
      <c r="T343" s="125"/>
      <c r="U343" s="125"/>
      <c r="V343" s="125"/>
      <c r="W343" s="125"/>
      <c r="X343" s="125"/>
      <c r="Y343" s="125"/>
      <c r="Z343" s="125"/>
      <c r="AA343" s="125"/>
      <c r="AB343" s="125"/>
      <c r="AC343" s="125"/>
      <c r="AD343" s="125"/>
      <c r="AE343" s="125"/>
      <c r="AF343" s="125"/>
      <c r="AG343" s="135"/>
      <c r="AH343" s="125"/>
      <c r="AI343" s="125"/>
      <c r="AJ343" s="125"/>
    </row>
    <row r="344" spans="1:36" s="124" customFormat="1" x14ac:dyDescent="0.2">
      <c r="A344" s="134"/>
      <c r="B344" s="125"/>
      <c r="C344" s="125"/>
      <c r="D344" s="125"/>
      <c r="E344" s="125"/>
      <c r="F344" s="125"/>
      <c r="G344" s="125"/>
      <c r="H344" s="125"/>
      <c r="I344" s="125"/>
      <c r="J344" s="125"/>
      <c r="K344" s="125"/>
      <c r="L344" s="125"/>
      <c r="M344" s="125"/>
      <c r="N344" s="125"/>
      <c r="O344" s="125"/>
      <c r="P344" s="125"/>
      <c r="Q344" s="125"/>
      <c r="R344" s="125"/>
      <c r="S344" s="125"/>
      <c r="T344" s="125"/>
      <c r="U344" s="125"/>
      <c r="V344" s="125"/>
      <c r="W344" s="125"/>
      <c r="X344" s="125"/>
      <c r="Y344" s="125"/>
      <c r="Z344" s="125"/>
      <c r="AA344" s="125"/>
      <c r="AB344" s="125"/>
      <c r="AC344" s="125"/>
      <c r="AD344" s="125"/>
      <c r="AE344" s="125"/>
      <c r="AF344" s="125"/>
      <c r="AG344" s="135"/>
      <c r="AH344" s="125"/>
      <c r="AI344" s="125"/>
      <c r="AJ344" s="125"/>
    </row>
    <row r="345" spans="1:36" s="124" customFormat="1" x14ac:dyDescent="0.2">
      <c r="A345" s="134"/>
      <c r="B345" s="125"/>
      <c r="C345" s="125"/>
      <c r="D345" s="125"/>
      <c r="E345" s="125"/>
      <c r="F345" s="125"/>
      <c r="G345" s="125"/>
      <c r="H345" s="125"/>
      <c r="I345" s="125"/>
      <c r="J345" s="125"/>
      <c r="K345" s="125"/>
      <c r="L345" s="125"/>
      <c r="M345" s="125"/>
      <c r="N345" s="125"/>
      <c r="O345" s="125"/>
      <c r="P345" s="125"/>
      <c r="Q345" s="125"/>
      <c r="R345" s="125"/>
      <c r="S345" s="125"/>
      <c r="T345" s="125"/>
      <c r="U345" s="125"/>
      <c r="V345" s="125"/>
      <c r="W345" s="125"/>
      <c r="X345" s="125"/>
      <c r="Y345" s="125"/>
      <c r="Z345" s="125"/>
      <c r="AA345" s="125"/>
      <c r="AB345" s="125"/>
      <c r="AC345" s="125"/>
      <c r="AD345" s="125"/>
      <c r="AE345" s="125"/>
      <c r="AF345" s="125"/>
      <c r="AG345" s="135"/>
      <c r="AH345" s="125"/>
      <c r="AI345" s="125"/>
      <c r="AJ345" s="125"/>
    </row>
    <row r="346" spans="1:36" s="124" customFormat="1" x14ac:dyDescent="0.2">
      <c r="A346" s="134"/>
      <c r="B346" s="125"/>
      <c r="C346" s="125"/>
      <c r="D346" s="125"/>
      <c r="E346" s="125"/>
      <c r="F346" s="125"/>
      <c r="G346" s="125"/>
      <c r="H346" s="125"/>
      <c r="I346" s="125"/>
      <c r="J346" s="125"/>
      <c r="K346" s="125"/>
      <c r="L346" s="125"/>
      <c r="M346" s="125"/>
      <c r="N346" s="125"/>
      <c r="O346" s="125"/>
      <c r="P346" s="125"/>
      <c r="Q346" s="125"/>
      <c r="R346" s="125"/>
      <c r="S346" s="125"/>
      <c r="T346" s="125"/>
      <c r="U346" s="125"/>
      <c r="V346" s="125"/>
      <c r="W346" s="125"/>
      <c r="X346" s="125"/>
      <c r="Y346" s="125"/>
      <c r="Z346" s="125"/>
      <c r="AA346" s="125"/>
      <c r="AB346" s="125"/>
      <c r="AC346" s="125"/>
      <c r="AD346" s="125"/>
      <c r="AE346" s="125"/>
      <c r="AF346" s="125"/>
      <c r="AG346" s="135"/>
      <c r="AH346" s="125"/>
      <c r="AI346" s="125"/>
      <c r="AJ346" s="125"/>
    </row>
    <row r="347" spans="1:36" s="124" customFormat="1" x14ac:dyDescent="0.2">
      <c r="A347" s="134"/>
      <c r="B347" s="125"/>
      <c r="C347" s="125"/>
      <c r="D347" s="125"/>
      <c r="E347" s="125"/>
      <c r="F347" s="125"/>
      <c r="G347" s="125"/>
      <c r="H347" s="125"/>
      <c r="I347" s="125"/>
      <c r="J347" s="125"/>
      <c r="K347" s="125"/>
      <c r="L347" s="125"/>
      <c r="M347" s="125"/>
      <c r="N347" s="125"/>
      <c r="O347" s="125"/>
      <c r="P347" s="125"/>
      <c r="Q347" s="125"/>
      <c r="R347" s="125"/>
      <c r="S347" s="125"/>
      <c r="T347" s="125"/>
      <c r="U347" s="125"/>
      <c r="V347" s="125"/>
      <c r="W347" s="125"/>
      <c r="X347" s="125"/>
      <c r="Y347" s="125"/>
      <c r="Z347" s="125"/>
      <c r="AA347" s="125"/>
      <c r="AB347" s="125"/>
      <c r="AC347" s="125"/>
      <c r="AD347" s="125"/>
      <c r="AE347" s="125"/>
      <c r="AF347" s="125"/>
      <c r="AG347" s="135"/>
      <c r="AH347" s="125"/>
      <c r="AI347" s="125"/>
      <c r="AJ347" s="125"/>
    </row>
    <row r="348" spans="1:36" s="124" customFormat="1" x14ac:dyDescent="0.2">
      <c r="A348" s="134"/>
      <c r="B348" s="125"/>
      <c r="C348" s="125"/>
      <c r="D348" s="125"/>
      <c r="E348" s="125"/>
      <c r="F348" s="125"/>
      <c r="G348" s="125"/>
      <c r="H348" s="125"/>
      <c r="I348" s="125"/>
      <c r="J348" s="125"/>
      <c r="K348" s="125"/>
      <c r="L348" s="125"/>
      <c r="M348" s="125"/>
      <c r="N348" s="125"/>
      <c r="O348" s="125"/>
      <c r="P348" s="125"/>
      <c r="Q348" s="125"/>
      <c r="R348" s="125"/>
      <c r="S348" s="125"/>
      <c r="T348" s="125"/>
      <c r="U348" s="125"/>
      <c r="V348" s="125"/>
      <c r="W348" s="125"/>
      <c r="X348" s="125"/>
      <c r="Y348" s="125"/>
      <c r="Z348" s="125"/>
      <c r="AA348" s="125"/>
      <c r="AB348" s="125"/>
      <c r="AC348" s="125"/>
      <c r="AD348" s="125"/>
      <c r="AE348" s="125"/>
      <c r="AF348" s="125"/>
      <c r="AG348" s="135"/>
      <c r="AH348" s="125"/>
      <c r="AI348" s="125"/>
      <c r="AJ348" s="125"/>
    </row>
    <row r="349" spans="1:36" s="124" customFormat="1" x14ac:dyDescent="0.2">
      <c r="A349" s="134"/>
      <c r="B349" s="125"/>
      <c r="C349" s="125"/>
      <c r="D349" s="125"/>
      <c r="E349" s="125"/>
      <c r="F349" s="125"/>
      <c r="G349" s="125"/>
      <c r="H349" s="125"/>
      <c r="I349" s="125"/>
      <c r="J349" s="125"/>
      <c r="K349" s="125"/>
      <c r="L349" s="125"/>
      <c r="M349" s="125"/>
      <c r="N349" s="125"/>
      <c r="O349" s="125"/>
      <c r="P349" s="125"/>
      <c r="Q349" s="125"/>
      <c r="R349" s="125"/>
      <c r="S349" s="125"/>
      <c r="T349" s="125"/>
      <c r="U349" s="125"/>
      <c r="V349" s="125"/>
      <c r="W349" s="125"/>
      <c r="X349" s="125"/>
      <c r="Y349" s="125"/>
      <c r="Z349" s="125"/>
      <c r="AA349" s="125"/>
      <c r="AB349" s="125"/>
      <c r="AC349" s="125"/>
      <c r="AD349" s="125"/>
      <c r="AE349" s="125"/>
      <c r="AF349" s="125"/>
      <c r="AG349" s="135"/>
      <c r="AH349" s="125"/>
      <c r="AI349" s="125"/>
      <c r="AJ349" s="125"/>
    </row>
    <row r="350" spans="1:36" s="124" customFormat="1" x14ac:dyDescent="0.2">
      <c r="A350" s="134"/>
      <c r="B350" s="125"/>
      <c r="C350" s="125"/>
      <c r="D350" s="125"/>
      <c r="E350" s="125"/>
      <c r="F350" s="125"/>
      <c r="G350" s="125"/>
      <c r="H350" s="125"/>
      <c r="I350" s="125"/>
      <c r="J350" s="125"/>
      <c r="K350" s="125"/>
      <c r="L350" s="125"/>
      <c r="M350" s="125"/>
      <c r="N350" s="125"/>
      <c r="O350" s="125"/>
      <c r="P350" s="125"/>
      <c r="Q350" s="125"/>
      <c r="R350" s="125"/>
      <c r="S350" s="125"/>
      <c r="T350" s="125"/>
      <c r="U350" s="125"/>
      <c r="V350" s="125"/>
      <c r="W350" s="125"/>
      <c r="X350" s="125"/>
      <c r="Y350" s="125"/>
      <c r="Z350" s="125"/>
      <c r="AA350" s="125"/>
      <c r="AB350" s="125"/>
      <c r="AC350" s="125"/>
      <c r="AD350" s="125"/>
      <c r="AE350" s="125"/>
      <c r="AF350" s="125"/>
      <c r="AG350" s="135"/>
      <c r="AH350" s="125"/>
      <c r="AI350" s="125"/>
      <c r="AJ350" s="125"/>
    </row>
    <row r="351" spans="1:36" s="124" customFormat="1" x14ac:dyDescent="0.2">
      <c r="A351" s="134"/>
      <c r="B351" s="125"/>
      <c r="C351" s="125"/>
      <c r="D351" s="125"/>
      <c r="E351" s="125"/>
      <c r="F351" s="125"/>
      <c r="G351" s="125"/>
      <c r="H351" s="125"/>
      <c r="I351" s="125"/>
      <c r="J351" s="125"/>
      <c r="K351" s="125"/>
      <c r="L351" s="125"/>
      <c r="M351" s="125"/>
      <c r="N351" s="125"/>
      <c r="O351" s="125"/>
      <c r="P351" s="125"/>
      <c r="Q351" s="125"/>
      <c r="R351" s="125"/>
      <c r="S351" s="125"/>
      <c r="T351" s="125"/>
      <c r="U351" s="125"/>
      <c r="V351" s="125"/>
      <c r="W351" s="125"/>
      <c r="X351" s="125"/>
      <c r="Y351" s="125"/>
      <c r="Z351" s="125"/>
      <c r="AA351" s="125"/>
      <c r="AB351" s="125"/>
      <c r="AC351" s="125"/>
      <c r="AD351" s="125"/>
      <c r="AE351" s="125"/>
      <c r="AF351" s="125"/>
      <c r="AG351" s="135"/>
      <c r="AH351" s="125"/>
      <c r="AI351" s="125"/>
      <c r="AJ351" s="125"/>
    </row>
    <row r="352" spans="1:36" s="124" customFormat="1" x14ac:dyDescent="0.2">
      <c r="A352" s="134"/>
      <c r="B352" s="125"/>
      <c r="C352" s="125"/>
      <c r="D352" s="125"/>
      <c r="E352" s="125"/>
      <c r="F352" s="125"/>
      <c r="G352" s="125"/>
      <c r="H352" s="125"/>
      <c r="I352" s="125"/>
      <c r="J352" s="125"/>
      <c r="K352" s="125"/>
      <c r="L352" s="125"/>
      <c r="M352" s="125"/>
      <c r="N352" s="125"/>
      <c r="O352" s="125"/>
      <c r="P352" s="125"/>
      <c r="Q352" s="125"/>
      <c r="R352" s="125"/>
      <c r="S352" s="125"/>
      <c r="T352" s="125"/>
      <c r="U352" s="125"/>
      <c r="V352" s="125"/>
      <c r="W352" s="125"/>
      <c r="X352" s="125"/>
      <c r="Y352" s="125"/>
      <c r="Z352" s="125"/>
      <c r="AA352" s="125"/>
      <c r="AB352" s="125"/>
      <c r="AC352" s="125"/>
      <c r="AD352" s="125"/>
      <c r="AE352" s="125"/>
      <c r="AF352" s="125"/>
      <c r="AG352" s="135"/>
      <c r="AH352" s="125"/>
      <c r="AI352" s="125"/>
      <c r="AJ352" s="125"/>
    </row>
    <row r="353" spans="1:36" s="124" customFormat="1" x14ac:dyDescent="0.2">
      <c r="A353" s="134"/>
      <c r="B353" s="125"/>
      <c r="C353" s="125"/>
      <c r="D353" s="125"/>
      <c r="E353" s="125"/>
      <c r="F353" s="125"/>
      <c r="G353" s="125"/>
      <c r="H353" s="125"/>
      <c r="I353" s="125"/>
      <c r="J353" s="125"/>
      <c r="K353" s="125"/>
      <c r="L353" s="125"/>
      <c r="M353" s="125"/>
      <c r="N353" s="125"/>
      <c r="O353" s="125"/>
      <c r="P353" s="125"/>
      <c r="Q353" s="125"/>
      <c r="R353" s="125"/>
      <c r="S353" s="125"/>
      <c r="T353" s="125"/>
      <c r="U353" s="125"/>
      <c r="V353" s="125"/>
      <c r="W353" s="125"/>
      <c r="X353" s="125"/>
      <c r="Y353" s="125"/>
      <c r="Z353" s="125"/>
      <c r="AA353" s="125"/>
      <c r="AB353" s="125"/>
      <c r="AC353" s="125"/>
      <c r="AD353" s="125"/>
      <c r="AE353" s="125"/>
      <c r="AF353" s="125"/>
      <c r="AG353" s="135"/>
      <c r="AH353" s="125"/>
      <c r="AI353" s="125"/>
      <c r="AJ353" s="125"/>
    </row>
    <row r="354" spans="1:36" s="124" customFormat="1" x14ac:dyDescent="0.2">
      <c r="A354" s="134"/>
      <c r="B354" s="125"/>
      <c r="C354" s="125"/>
      <c r="D354" s="125"/>
      <c r="E354" s="125"/>
      <c r="F354" s="125"/>
      <c r="G354" s="125"/>
      <c r="H354" s="125"/>
      <c r="I354" s="125"/>
      <c r="J354" s="125"/>
      <c r="K354" s="125"/>
      <c r="L354" s="125"/>
      <c r="M354" s="125"/>
      <c r="N354" s="125"/>
      <c r="O354" s="125"/>
      <c r="P354" s="125"/>
      <c r="Q354" s="125"/>
      <c r="R354" s="125"/>
      <c r="S354" s="125"/>
      <c r="T354" s="125"/>
      <c r="U354" s="125"/>
      <c r="V354" s="125"/>
      <c r="W354" s="125"/>
      <c r="X354" s="125"/>
      <c r="Y354" s="125"/>
      <c r="Z354" s="125"/>
      <c r="AA354" s="125"/>
      <c r="AB354" s="125"/>
      <c r="AC354" s="125"/>
      <c r="AD354" s="125"/>
      <c r="AE354" s="125"/>
      <c r="AF354" s="125"/>
      <c r="AG354" s="135"/>
      <c r="AH354" s="125"/>
      <c r="AI354" s="125"/>
      <c r="AJ354" s="125"/>
    </row>
    <row r="355" spans="1:36" s="124" customFormat="1" x14ac:dyDescent="0.2">
      <c r="A355" s="134"/>
      <c r="B355" s="125"/>
      <c r="C355" s="125"/>
      <c r="D355" s="125"/>
      <c r="E355" s="125"/>
      <c r="F355" s="125"/>
      <c r="G355" s="125"/>
      <c r="H355" s="125"/>
      <c r="I355" s="125"/>
      <c r="J355" s="125"/>
      <c r="K355" s="125"/>
      <c r="L355" s="125"/>
      <c r="M355" s="125"/>
      <c r="N355" s="125"/>
      <c r="O355" s="125"/>
      <c r="P355" s="125"/>
      <c r="Q355" s="125"/>
      <c r="R355" s="125"/>
      <c r="S355" s="125"/>
      <c r="T355" s="125"/>
      <c r="U355" s="125"/>
      <c r="V355" s="125"/>
      <c r="W355" s="125"/>
      <c r="X355" s="125"/>
      <c r="Y355" s="125"/>
      <c r="Z355" s="125"/>
      <c r="AA355" s="125"/>
      <c r="AB355" s="125"/>
      <c r="AC355" s="125"/>
      <c r="AD355" s="125"/>
      <c r="AE355" s="125"/>
      <c r="AF355" s="125"/>
      <c r="AG355" s="135"/>
      <c r="AH355" s="125"/>
      <c r="AI355" s="125"/>
      <c r="AJ355" s="125"/>
    </row>
    <row r="356" spans="1:36" s="124" customFormat="1" x14ac:dyDescent="0.2">
      <c r="A356" s="134"/>
      <c r="B356" s="125"/>
      <c r="C356" s="125"/>
      <c r="D356" s="125"/>
      <c r="E356" s="125"/>
      <c r="F356" s="125"/>
      <c r="G356" s="125"/>
      <c r="H356" s="125"/>
      <c r="I356" s="125"/>
      <c r="J356" s="125"/>
      <c r="K356" s="125"/>
      <c r="L356" s="125"/>
      <c r="M356" s="125"/>
      <c r="N356" s="125"/>
      <c r="O356" s="125"/>
      <c r="P356" s="125"/>
      <c r="Q356" s="125"/>
      <c r="R356" s="125"/>
      <c r="S356" s="125"/>
      <c r="T356" s="125"/>
      <c r="U356" s="125"/>
      <c r="V356" s="125"/>
      <c r="W356" s="125"/>
      <c r="X356" s="125"/>
      <c r="Y356" s="125"/>
      <c r="Z356" s="125"/>
      <c r="AA356" s="125"/>
      <c r="AB356" s="125"/>
      <c r="AC356" s="125"/>
      <c r="AD356" s="125"/>
      <c r="AE356" s="125"/>
      <c r="AF356" s="125"/>
      <c r="AG356" s="135"/>
      <c r="AH356" s="125"/>
      <c r="AI356" s="125"/>
      <c r="AJ356" s="125"/>
    </row>
    <row r="357" spans="1:36" s="124" customFormat="1" x14ac:dyDescent="0.2">
      <c r="A357" s="134"/>
      <c r="B357" s="125"/>
      <c r="C357" s="125"/>
      <c r="D357" s="125"/>
      <c r="E357" s="125"/>
      <c r="F357" s="125"/>
      <c r="G357" s="125"/>
      <c r="H357" s="125"/>
      <c r="I357" s="125"/>
      <c r="J357" s="125"/>
      <c r="K357" s="125"/>
      <c r="L357" s="125"/>
      <c r="M357" s="125"/>
      <c r="N357" s="125"/>
      <c r="O357" s="125"/>
      <c r="P357" s="125"/>
      <c r="Q357" s="125"/>
      <c r="R357" s="125"/>
      <c r="S357" s="125"/>
      <c r="T357" s="125"/>
      <c r="U357" s="125"/>
      <c r="V357" s="125"/>
      <c r="W357" s="125"/>
      <c r="X357" s="125"/>
      <c r="Y357" s="125"/>
      <c r="Z357" s="125"/>
      <c r="AA357" s="125"/>
      <c r="AB357" s="125"/>
      <c r="AC357" s="125"/>
      <c r="AD357" s="125"/>
      <c r="AE357" s="125"/>
      <c r="AF357" s="125"/>
      <c r="AG357" s="135"/>
      <c r="AH357" s="125"/>
      <c r="AI357" s="125"/>
      <c r="AJ357" s="125"/>
    </row>
    <row r="358" spans="1:36" s="124" customFormat="1" x14ac:dyDescent="0.2">
      <c r="A358" s="134"/>
      <c r="B358" s="125"/>
      <c r="C358" s="125"/>
      <c r="D358" s="125"/>
      <c r="E358" s="125"/>
      <c r="F358" s="125"/>
      <c r="G358" s="125"/>
      <c r="H358" s="125"/>
      <c r="I358" s="125"/>
      <c r="J358" s="125"/>
      <c r="K358" s="125"/>
      <c r="L358" s="125"/>
      <c r="M358" s="125"/>
      <c r="N358" s="125"/>
      <c r="O358" s="125"/>
      <c r="P358" s="125"/>
      <c r="Q358" s="125"/>
      <c r="R358" s="125"/>
      <c r="S358" s="125"/>
      <c r="T358" s="125"/>
      <c r="U358" s="125"/>
      <c r="V358" s="125"/>
      <c r="W358" s="125"/>
      <c r="X358" s="125"/>
      <c r="Y358" s="125"/>
      <c r="Z358" s="125"/>
      <c r="AA358" s="125"/>
      <c r="AB358" s="125"/>
      <c r="AC358" s="125"/>
      <c r="AD358" s="125"/>
      <c r="AE358" s="125"/>
      <c r="AF358" s="125"/>
      <c r="AG358" s="135"/>
      <c r="AH358" s="125"/>
      <c r="AI358" s="125"/>
      <c r="AJ358" s="125"/>
    </row>
    <row r="359" spans="1:36" s="124" customFormat="1" x14ac:dyDescent="0.2">
      <c r="A359" s="134"/>
      <c r="B359" s="125"/>
      <c r="C359" s="125"/>
      <c r="D359" s="125"/>
      <c r="E359" s="125"/>
      <c r="F359" s="125"/>
      <c r="G359" s="125"/>
      <c r="H359" s="125"/>
      <c r="I359" s="125"/>
      <c r="J359" s="125"/>
      <c r="K359" s="125"/>
      <c r="L359" s="125"/>
      <c r="M359" s="125"/>
      <c r="N359" s="125"/>
      <c r="O359" s="125"/>
      <c r="P359" s="125"/>
      <c r="Q359" s="125"/>
      <c r="R359" s="125"/>
      <c r="S359" s="125"/>
      <c r="T359" s="125"/>
      <c r="U359" s="125"/>
      <c r="V359" s="125"/>
      <c r="W359" s="125"/>
      <c r="X359" s="125"/>
      <c r="Y359" s="125"/>
      <c r="Z359" s="125"/>
      <c r="AA359" s="125"/>
      <c r="AB359" s="125"/>
      <c r="AC359" s="125"/>
      <c r="AD359" s="125"/>
      <c r="AE359" s="125"/>
      <c r="AF359" s="125"/>
      <c r="AG359" s="135"/>
      <c r="AH359" s="125"/>
      <c r="AI359" s="125"/>
      <c r="AJ359" s="125"/>
    </row>
    <row r="360" spans="1:36" s="124" customFormat="1" x14ac:dyDescent="0.2">
      <c r="A360" s="134"/>
      <c r="B360" s="125"/>
      <c r="C360" s="125"/>
      <c r="D360" s="125"/>
      <c r="E360" s="125"/>
      <c r="F360" s="125"/>
      <c r="G360" s="125"/>
      <c r="H360" s="125"/>
      <c r="I360" s="125"/>
      <c r="J360" s="125"/>
      <c r="K360" s="125"/>
      <c r="L360" s="125"/>
      <c r="M360" s="125"/>
      <c r="N360" s="125"/>
      <c r="O360" s="125"/>
      <c r="P360" s="125"/>
      <c r="Q360" s="125"/>
      <c r="R360" s="125"/>
      <c r="S360" s="125"/>
      <c r="T360" s="125"/>
      <c r="U360" s="125"/>
      <c r="V360" s="125"/>
      <c r="W360" s="125"/>
      <c r="X360" s="125"/>
      <c r="Y360" s="125"/>
      <c r="Z360" s="125"/>
      <c r="AA360" s="125"/>
      <c r="AB360" s="125"/>
      <c r="AC360" s="125"/>
      <c r="AD360" s="125"/>
      <c r="AE360" s="125"/>
      <c r="AF360" s="125"/>
      <c r="AG360" s="135"/>
      <c r="AH360" s="125"/>
      <c r="AI360" s="125"/>
      <c r="AJ360" s="125"/>
    </row>
    <row r="361" spans="1:36" s="124" customFormat="1" x14ac:dyDescent="0.2">
      <c r="A361" s="134"/>
      <c r="B361" s="125"/>
      <c r="C361" s="125"/>
      <c r="D361" s="125"/>
      <c r="E361" s="125"/>
      <c r="F361" s="125"/>
      <c r="G361" s="125"/>
      <c r="H361" s="125"/>
      <c r="I361" s="125"/>
      <c r="J361" s="125"/>
      <c r="K361" s="125"/>
      <c r="L361" s="125"/>
      <c r="M361" s="125"/>
      <c r="N361" s="125"/>
      <c r="O361" s="125"/>
      <c r="P361" s="125"/>
      <c r="Q361" s="125"/>
      <c r="R361" s="125"/>
      <c r="S361" s="125"/>
      <c r="T361" s="125"/>
      <c r="U361" s="125"/>
      <c r="V361" s="125"/>
      <c r="W361" s="125"/>
      <c r="X361" s="125"/>
      <c r="Y361" s="125"/>
      <c r="Z361" s="125"/>
      <c r="AA361" s="125"/>
      <c r="AB361" s="125"/>
      <c r="AC361" s="125"/>
      <c r="AD361" s="125"/>
      <c r="AE361" s="125"/>
      <c r="AF361" s="125"/>
      <c r="AG361" s="135"/>
      <c r="AH361" s="125"/>
      <c r="AI361" s="125"/>
      <c r="AJ361" s="125"/>
    </row>
    <row r="362" spans="1:36" s="124" customFormat="1" x14ac:dyDescent="0.2">
      <c r="A362" s="134"/>
      <c r="B362" s="125"/>
      <c r="C362" s="125"/>
      <c r="D362" s="125"/>
      <c r="E362" s="125"/>
      <c r="F362" s="125"/>
      <c r="G362" s="125"/>
      <c r="H362" s="125"/>
      <c r="I362" s="125"/>
      <c r="J362" s="125"/>
      <c r="K362" s="125"/>
      <c r="L362" s="125"/>
      <c r="M362" s="125"/>
      <c r="N362" s="125"/>
      <c r="O362" s="125"/>
      <c r="P362" s="125"/>
      <c r="Q362" s="125"/>
      <c r="R362" s="125"/>
      <c r="S362" s="125"/>
      <c r="T362" s="125"/>
      <c r="U362" s="125"/>
      <c r="V362" s="125"/>
      <c r="W362" s="125"/>
      <c r="X362" s="125"/>
      <c r="Y362" s="125"/>
      <c r="Z362" s="125"/>
      <c r="AA362" s="125"/>
      <c r="AB362" s="125"/>
      <c r="AC362" s="125"/>
      <c r="AD362" s="125"/>
      <c r="AE362" s="125"/>
      <c r="AF362" s="125"/>
      <c r="AG362" s="135"/>
      <c r="AH362" s="125"/>
      <c r="AI362" s="125"/>
      <c r="AJ362" s="125"/>
    </row>
    <row r="363" spans="1:36" s="124" customFormat="1" x14ac:dyDescent="0.2">
      <c r="A363" s="134"/>
      <c r="B363" s="125"/>
      <c r="C363" s="125"/>
      <c r="D363" s="125"/>
      <c r="E363" s="125"/>
      <c r="F363" s="125"/>
      <c r="G363" s="125"/>
      <c r="H363" s="125"/>
      <c r="I363" s="125"/>
      <c r="J363" s="125"/>
      <c r="K363" s="125"/>
      <c r="L363" s="125"/>
      <c r="M363" s="125"/>
      <c r="N363" s="125"/>
      <c r="O363" s="125"/>
      <c r="P363" s="125"/>
      <c r="Q363" s="125"/>
      <c r="R363" s="125"/>
      <c r="S363" s="125"/>
      <c r="T363" s="125"/>
      <c r="U363" s="125"/>
      <c r="V363" s="125"/>
      <c r="W363" s="125"/>
      <c r="X363" s="125"/>
      <c r="Y363" s="125"/>
      <c r="Z363" s="125"/>
      <c r="AA363" s="125"/>
      <c r="AB363" s="125"/>
      <c r="AC363" s="125"/>
      <c r="AD363" s="125"/>
      <c r="AE363" s="125"/>
      <c r="AF363" s="125"/>
      <c r="AG363" s="135"/>
      <c r="AH363" s="125"/>
      <c r="AI363" s="125"/>
      <c r="AJ363" s="125"/>
    </row>
    <row r="364" spans="1:36" s="124" customFormat="1" x14ac:dyDescent="0.2">
      <c r="A364" s="134"/>
      <c r="B364" s="125"/>
      <c r="C364" s="125"/>
      <c r="D364" s="125"/>
      <c r="E364" s="125"/>
      <c r="F364" s="125"/>
      <c r="G364" s="125"/>
      <c r="H364" s="125"/>
      <c r="I364" s="125"/>
      <c r="J364" s="125"/>
      <c r="K364" s="125"/>
      <c r="L364" s="125"/>
      <c r="M364" s="125"/>
      <c r="N364" s="125"/>
      <c r="O364" s="125"/>
      <c r="P364" s="125"/>
      <c r="Q364" s="125"/>
      <c r="R364" s="125"/>
      <c r="S364" s="125"/>
      <c r="T364" s="125"/>
      <c r="U364" s="125"/>
      <c r="V364" s="125"/>
      <c r="W364" s="125"/>
      <c r="X364" s="125"/>
      <c r="Y364" s="125"/>
      <c r="Z364" s="125"/>
      <c r="AA364" s="125"/>
      <c r="AB364" s="125"/>
      <c r="AC364" s="125"/>
      <c r="AD364" s="125"/>
      <c r="AE364" s="125"/>
      <c r="AF364" s="125"/>
      <c r="AG364" s="135"/>
      <c r="AH364" s="125"/>
      <c r="AI364" s="125"/>
      <c r="AJ364" s="125"/>
    </row>
    <row r="365" spans="1:36" s="124" customFormat="1" x14ac:dyDescent="0.2">
      <c r="A365" s="134"/>
      <c r="B365" s="125"/>
      <c r="C365" s="125"/>
      <c r="D365" s="125"/>
      <c r="E365" s="125"/>
      <c r="F365" s="125"/>
      <c r="G365" s="125"/>
      <c r="H365" s="125"/>
      <c r="I365" s="125"/>
      <c r="J365" s="125"/>
      <c r="K365" s="125"/>
      <c r="L365" s="125"/>
      <c r="M365" s="125"/>
      <c r="N365" s="125"/>
      <c r="O365" s="125"/>
      <c r="P365" s="125"/>
      <c r="Q365" s="125"/>
      <c r="R365" s="125"/>
      <c r="S365" s="125"/>
      <c r="T365" s="125"/>
      <c r="U365" s="125"/>
      <c r="V365" s="125"/>
      <c r="W365" s="125"/>
      <c r="X365" s="125"/>
      <c r="Y365" s="125"/>
      <c r="Z365" s="125"/>
      <c r="AA365" s="125"/>
      <c r="AB365" s="125"/>
      <c r="AC365" s="125"/>
      <c r="AD365" s="125"/>
      <c r="AE365" s="125"/>
      <c r="AF365" s="125"/>
      <c r="AG365" s="135"/>
      <c r="AH365" s="125"/>
      <c r="AI365" s="125"/>
      <c r="AJ365" s="125"/>
    </row>
    <row r="366" spans="1:36" s="124" customFormat="1" x14ac:dyDescent="0.2">
      <c r="A366" s="134"/>
      <c r="B366" s="125"/>
      <c r="C366" s="125"/>
      <c r="D366" s="125"/>
      <c r="E366" s="125"/>
      <c r="F366" s="125"/>
      <c r="G366" s="125"/>
      <c r="H366" s="125"/>
      <c r="I366" s="125"/>
      <c r="J366" s="125"/>
      <c r="K366" s="125"/>
      <c r="L366" s="125"/>
      <c r="M366" s="125"/>
      <c r="N366" s="125"/>
      <c r="O366" s="125"/>
      <c r="P366" s="125"/>
      <c r="Q366" s="125"/>
      <c r="R366" s="125"/>
      <c r="S366" s="125"/>
      <c r="T366" s="125"/>
      <c r="U366" s="125"/>
      <c r="V366" s="125"/>
      <c r="W366" s="125"/>
      <c r="X366" s="125"/>
      <c r="Y366" s="125"/>
      <c r="Z366" s="125"/>
      <c r="AA366" s="125"/>
      <c r="AB366" s="125"/>
      <c r="AC366" s="125"/>
      <c r="AD366" s="125"/>
      <c r="AE366" s="125"/>
      <c r="AF366" s="125"/>
      <c r="AG366" s="135"/>
      <c r="AH366" s="125"/>
      <c r="AI366" s="125"/>
      <c r="AJ366" s="125"/>
    </row>
    <row r="367" spans="1:36" s="124" customFormat="1" x14ac:dyDescent="0.2">
      <c r="A367" s="134"/>
      <c r="B367" s="125"/>
      <c r="C367" s="125"/>
      <c r="D367" s="125"/>
      <c r="E367" s="125"/>
      <c r="F367" s="125"/>
      <c r="G367" s="125"/>
      <c r="H367" s="125"/>
      <c r="I367" s="125"/>
      <c r="J367" s="125"/>
      <c r="K367" s="125"/>
      <c r="L367" s="125"/>
      <c r="M367" s="125"/>
      <c r="N367" s="125"/>
      <c r="O367" s="125"/>
      <c r="P367" s="125"/>
      <c r="Q367" s="125"/>
      <c r="R367" s="125"/>
      <c r="S367" s="125"/>
      <c r="T367" s="125"/>
      <c r="U367" s="125"/>
      <c r="V367" s="125"/>
      <c r="W367" s="125"/>
      <c r="X367" s="125"/>
      <c r="Y367" s="125"/>
      <c r="Z367" s="125"/>
      <c r="AA367" s="125"/>
      <c r="AB367" s="125"/>
      <c r="AC367" s="125"/>
      <c r="AD367" s="125"/>
      <c r="AE367" s="125"/>
      <c r="AF367" s="125"/>
      <c r="AG367" s="135"/>
      <c r="AH367" s="125"/>
      <c r="AI367" s="125"/>
      <c r="AJ367" s="125"/>
    </row>
    <row r="368" spans="1:36" s="124" customFormat="1" x14ac:dyDescent="0.2">
      <c r="A368" s="134"/>
      <c r="B368" s="125"/>
      <c r="C368" s="125"/>
      <c r="D368" s="125"/>
      <c r="E368" s="125"/>
      <c r="F368" s="125"/>
      <c r="G368" s="125"/>
      <c r="H368" s="125"/>
      <c r="I368" s="125"/>
      <c r="J368" s="125"/>
      <c r="K368" s="125"/>
      <c r="L368" s="125"/>
      <c r="M368" s="125"/>
      <c r="N368" s="125"/>
      <c r="O368" s="125"/>
      <c r="P368" s="125"/>
      <c r="Q368" s="125"/>
      <c r="R368" s="125"/>
      <c r="S368" s="125"/>
      <c r="T368" s="125"/>
      <c r="U368" s="125"/>
      <c r="V368" s="125"/>
      <c r="W368" s="125"/>
      <c r="X368" s="125"/>
      <c r="Y368" s="125"/>
      <c r="Z368" s="125"/>
      <c r="AA368" s="125"/>
      <c r="AB368" s="125"/>
      <c r="AC368" s="125"/>
      <c r="AD368" s="125"/>
      <c r="AE368" s="125"/>
      <c r="AF368" s="125"/>
      <c r="AG368" s="135"/>
      <c r="AH368" s="125"/>
      <c r="AI368" s="125"/>
      <c r="AJ368" s="125"/>
    </row>
    <row r="369" spans="1:36" s="124" customFormat="1" x14ac:dyDescent="0.2">
      <c r="A369" s="134"/>
      <c r="B369" s="125"/>
      <c r="C369" s="125"/>
      <c r="D369" s="125"/>
      <c r="E369" s="125"/>
      <c r="F369" s="125"/>
      <c r="G369" s="125"/>
      <c r="H369" s="125"/>
      <c r="I369" s="125"/>
      <c r="J369" s="125"/>
      <c r="K369" s="125"/>
      <c r="L369" s="125"/>
      <c r="M369" s="125"/>
      <c r="N369" s="125"/>
      <c r="O369" s="125"/>
      <c r="P369" s="125"/>
      <c r="Q369" s="125"/>
      <c r="R369" s="125"/>
      <c r="S369" s="125"/>
      <c r="T369" s="125"/>
      <c r="U369" s="125"/>
      <c r="V369" s="125"/>
      <c r="W369" s="125"/>
      <c r="X369" s="125"/>
      <c r="Y369" s="125"/>
      <c r="Z369" s="125"/>
      <c r="AA369" s="125"/>
      <c r="AB369" s="125"/>
      <c r="AC369" s="125"/>
      <c r="AD369" s="125"/>
      <c r="AE369" s="125"/>
      <c r="AF369" s="125"/>
      <c r="AG369" s="135"/>
      <c r="AH369" s="125"/>
      <c r="AI369" s="125"/>
      <c r="AJ369" s="125"/>
    </row>
    <row r="370" spans="1:36" s="124" customFormat="1" x14ac:dyDescent="0.2">
      <c r="A370" s="134"/>
      <c r="B370" s="125"/>
      <c r="C370" s="125"/>
      <c r="D370" s="125"/>
      <c r="E370" s="125"/>
      <c r="F370" s="125"/>
      <c r="G370" s="125"/>
      <c r="H370" s="125"/>
      <c r="I370" s="125"/>
      <c r="J370" s="125"/>
      <c r="K370" s="125"/>
      <c r="L370" s="125"/>
      <c r="M370" s="125"/>
      <c r="N370" s="125"/>
      <c r="O370" s="125"/>
      <c r="P370" s="125"/>
      <c r="Q370" s="125"/>
      <c r="R370" s="125"/>
      <c r="S370" s="125"/>
      <c r="T370" s="125"/>
      <c r="U370" s="125"/>
      <c r="V370" s="125"/>
      <c r="W370" s="125"/>
      <c r="X370" s="125"/>
      <c r="Y370" s="125"/>
      <c r="Z370" s="125"/>
      <c r="AA370" s="125"/>
      <c r="AB370" s="125"/>
      <c r="AC370" s="125"/>
      <c r="AD370" s="125"/>
      <c r="AE370" s="125"/>
      <c r="AF370" s="125"/>
      <c r="AG370" s="135"/>
      <c r="AH370" s="125"/>
      <c r="AI370" s="125"/>
      <c r="AJ370" s="125"/>
    </row>
    <row r="371" spans="1:36" s="124" customFormat="1" x14ac:dyDescent="0.2">
      <c r="A371" s="134"/>
      <c r="B371" s="125"/>
      <c r="C371" s="125"/>
      <c r="D371" s="125"/>
      <c r="E371" s="125"/>
      <c r="F371" s="125"/>
      <c r="G371" s="125"/>
      <c r="H371" s="125"/>
      <c r="I371" s="125"/>
      <c r="J371" s="125"/>
      <c r="K371" s="125"/>
      <c r="L371" s="125"/>
      <c r="M371" s="125"/>
      <c r="N371" s="125"/>
      <c r="O371" s="125"/>
      <c r="P371" s="125"/>
      <c r="Q371" s="125"/>
      <c r="R371" s="125"/>
      <c r="S371" s="125"/>
      <c r="T371" s="125"/>
      <c r="U371" s="125"/>
      <c r="V371" s="125"/>
      <c r="W371" s="125"/>
      <c r="X371" s="125"/>
      <c r="Y371" s="125"/>
      <c r="Z371" s="125"/>
      <c r="AA371" s="125"/>
      <c r="AB371" s="125"/>
      <c r="AC371" s="125"/>
      <c r="AD371" s="125"/>
      <c r="AE371" s="125"/>
      <c r="AF371" s="125"/>
      <c r="AG371" s="135"/>
      <c r="AH371" s="125"/>
      <c r="AI371" s="125"/>
      <c r="AJ371" s="125"/>
    </row>
    <row r="372" spans="1:36" s="124" customFormat="1" x14ac:dyDescent="0.2">
      <c r="A372" s="134"/>
      <c r="B372" s="125"/>
      <c r="C372" s="125"/>
      <c r="D372" s="125"/>
      <c r="E372" s="125"/>
      <c r="F372" s="125"/>
      <c r="G372" s="125"/>
      <c r="H372" s="125"/>
      <c r="I372" s="125"/>
      <c r="J372" s="125"/>
      <c r="K372" s="125"/>
      <c r="L372" s="125"/>
      <c r="M372" s="125"/>
      <c r="N372" s="125"/>
      <c r="O372" s="125"/>
      <c r="P372" s="125"/>
      <c r="Q372" s="125"/>
      <c r="R372" s="125"/>
      <c r="S372" s="125"/>
      <c r="T372" s="125"/>
      <c r="U372" s="125"/>
      <c r="V372" s="125"/>
      <c r="W372" s="125"/>
      <c r="X372" s="125"/>
      <c r="Y372" s="125"/>
      <c r="Z372" s="125"/>
      <c r="AA372" s="125"/>
      <c r="AB372" s="125"/>
      <c r="AC372" s="125"/>
      <c r="AD372" s="125"/>
      <c r="AE372" s="125"/>
      <c r="AF372" s="125"/>
      <c r="AG372" s="135"/>
      <c r="AH372" s="125"/>
      <c r="AI372" s="125"/>
      <c r="AJ372" s="125"/>
    </row>
    <row r="373" spans="1:36" s="124" customFormat="1" x14ac:dyDescent="0.2">
      <c r="A373" s="134"/>
      <c r="B373" s="125"/>
      <c r="C373" s="125"/>
      <c r="D373" s="125"/>
      <c r="E373" s="125"/>
      <c r="F373" s="125"/>
      <c r="G373" s="125"/>
      <c r="H373" s="125"/>
      <c r="I373" s="125"/>
      <c r="J373" s="125"/>
      <c r="K373" s="125"/>
      <c r="L373" s="125"/>
      <c r="M373" s="125"/>
      <c r="N373" s="125"/>
      <c r="O373" s="125"/>
      <c r="P373" s="125"/>
      <c r="Q373" s="125"/>
      <c r="R373" s="125"/>
      <c r="S373" s="125"/>
      <c r="T373" s="125"/>
      <c r="U373" s="125"/>
      <c r="V373" s="125"/>
      <c r="W373" s="125"/>
      <c r="X373" s="125"/>
      <c r="Y373" s="125"/>
      <c r="Z373" s="125"/>
      <c r="AA373" s="125"/>
      <c r="AB373" s="125"/>
      <c r="AC373" s="125"/>
      <c r="AD373" s="125"/>
      <c r="AE373" s="125"/>
      <c r="AF373" s="125"/>
      <c r="AG373" s="135"/>
      <c r="AH373" s="125"/>
      <c r="AI373" s="125"/>
      <c r="AJ373" s="125"/>
    </row>
    <row r="374" spans="1:36" s="124" customFormat="1" x14ac:dyDescent="0.2">
      <c r="A374" s="134"/>
      <c r="B374" s="125"/>
      <c r="C374" s="125"/>
      <c r="D374" s="125"/>
      <c r="E374" s="125"/>
      <c r="F374" s="125"/>
      <c r="G374" s="125"/>
      <c r="H374" s="125"/>
      <c r="I374" s="125"/>
      <c r="J374" s="125"/>
      <c r="K374" s="125"/>
      <c r="L374" s="125"/>
      <c r="M374" s="125"/>
      <c r="N374" s="125"/>
      <c r="O374" s="125"/>
      <c r="P374" s="125"/>
      <c r="Q374" s="125"/>
      <c r="R374" s="125"/>
      <c r="S374" s="125"/>
      <c r="T374" s="125"/>
      <c r="U374" s="125"/>
      <c r="V374" s="125"/>
      <c r="W374" s="125"/>
      <c r="X374" s="125"/>
      <c r="Y374" s="125"/>
      <c r="Z374" s="125"/>
      <c r="AA374" s="125"/>
      <c r="AB374" s="125"/>
      <c r="AC374" s="125"/>
      <c r="AD374" s="125"/>
      <c r="AE374" s="125"/>
      <c r="AF374" s="125"/>
      <c r="AG374" s="135"/>
      <c r="AH374" s="125"/>
      <c r="AI374" s="125"/>
      <c r="AJ374" s="125"/>
    </row>
    <row r="375" spans="1:36" s="124" customFormat="1" x14ac:dyDescent="0.2">
      <c r="A375" s="147"/>
      <c r="B375" s="152"/>
      <c r="C375" s="152"/>
      <c r="D375" s="152"/>
      <c r="E375" s="152"/>
      <c r="F375" s="152"/>
      <c r="G375" s="152"/>
      <c r="H375" s="152"/>
      <c r="I375" s="152"/>
      <c r="J375" s="152"/>
      <c r="K375" s="152"/>
      <c r="L375" s="152"/>
      <c r="M375" s="152"/>
      <c r="N375" s="152"/>
      <c r="O375" s="152"/>
      <c r="P375" s="152"/>
      <c r="Q375" s="152"/>
      <c r="R375" s="152"/>
      <c r="S375" s="152"/>
      <c r="T375" s="152"/>
      <c r="U375" s="152"/>
      <c r="V375" s="152"/>
      <c r="W375" s="152"/>
      <c r="X375" s="152"/>
      <c r="Y375" s="152"/>
      <c r="Z375" s="152"/>
      <c r="AA375" s="152"/>
      <c r="AB375" s="152"/>
      <c r="AC375" s="152"/>
      <c r="AD375" s="152"/>
      <c r="AE375" s="152"/>
      <c r="AF375" s="152"/>
      <c r="AG375" s="149"/>
      <c r="AH375" s="125"/>
      <c r="AI375" s="125"/>
      <c r="AJ375" s="125"/>
    </row>
  </sheetData>
  <sheetProtection algorithmName="SHA-512" hashValue="LpAm0yVXtazA79UZXhET0LH92JdKdolVs4dFCqA5b7Qr8GZ4rojTGdySoBgHZCKkL+312G2PpaIsthq42Cd87w==" saltValue="rL/89k/hgfyHFbjYRnRLjQ==" spinCount="100000" sheet="1" objects="1" scenarios="1"/>
  <dataConsolidate/>
  <mergeCells count="332">
    <mergeCell ref="B218:P218"/>
    <mergeCell ref="Q218:W218"/>
    <mergeCell ref="X218:AF218"/>
    <mergeCell ref="B219:P219"/>
    <mergeCell ref="Q219:W219"/>
    <mergeCell ref="X219:AF219"/>
    <mergeCell ref="B206:P206"/>
    <mergeCell ref="Q206:W206"/>
    <mergeCell ref="X206:AF206"/>
    <mergeCell ref="B207:P207"/>
    <mergeCell ref="Q207:W207"/>
    <mergeCell ref="X207:AF207"/>
    <mergeCell ref="V214:Y214"/>
    <mergeCell ref="V215:Y215"/>
    <mergeCell ref="Q217:W217"/>
    <mergeCell ref="X217:AF217"/>
    <mergeCell ref="AJ197:AM197"/>
    <mergeCell ref="V203:Z203"/>
    <mergeCell ref="Q205:W205"/>
    <mergeCell ref="X205:AF205"/>
    <mergeCell ref="V195:Y195"/>
    <mergeCell ref="V197:Y197"/>
    <mergeCell ref="V198:Y198"/>
    <mergeCell ref="V199:Y199"/>
    <mergeCell ref="V200:Y200"/>
    <mergeCell ref="V201:Y201"/>
    <mergeCell ref="B178:P178"/>
    <mergeCell ref="Q178:W178"/>
    <mergeCell ref="X178:AF178"/>
    <mergeCell ref="V169:Y169"/>
    <mergeCell ref="V174:Y174"/>
    <mergeCell ref="X67:AA67"/>
    <mergeCell ref="V168:Y168"/>
    <mergeCell ref="V173:Y173"/>
    <mergeCell ref="Q176:W176"/>
    <mergeCell ref="X176:AF176"/>
    <mergeCell ref="B177:P177"/>
    <mergeCell ref="Q177:W177"/>
    <mergeCell ref="X177:AF177"/>
    <mergeCell ref="M110:Q110"/>
    <mergeCell ref="M107:Q108"/>
    <mergeCell ref="R108:U108"/>
    <mergeCell ref="R109:U109"/>
    <mergeCell ref="R110:U110"/>
    <mergeCell ref="X162:AF162"/>
    <mergeCell ref="B163:P163"/>
    <mergeCell ref="Q163:W163"/>
    <mergeCell ref="B164:P164"/>
    <mergeCell ref="Q164:W164"/>
    <mergeCell ref="X164:AF164"/>
    <mergeCell ref="V151:Y151"/>
    <mergeCell ref="F92:O92"/>
    <mergeCell ref="U92:AD92"/>
    <mergeCell ref="X66:AA66"/>
    <mergeCell ref="V152:Y152"/>
    <mergeCell ref="V153:Y153"/>
    <mergeCell ref="V154:Y154"/>
    <mergeCell ref="B102:L102"/>
    <mergeCell ref="M101:Q101"/>
    <mergeCell ref="R101:Z101"/>
    <mergeCell ref="AA101:AF101"/>
    <mergeCell ref="M102:Q102"/>
    <mergeCell ref="R102:Z102"/>
    <mergeCell ref="V147:Y147"/>
    <mergeCell ref="V148:Y148"/>
    <mergeCell ref="V110:Z110"/>
    <mergeCell ref="X78:AA78"/>
    <mergeCell ref="X80:AA80"/>
    <mergeCell ref="X81:AA81"/>
    <mergeCell ref="X82:AA82"/>
    <mergeCell ref="X89:AA89"/>
    <mergeCell ref="V156:Y156"/>
    <mergeCell ref="V157:Y157"/>
    <mergeCell ref="V158:Y158"/>
    <mergeCell ref="V159:Y159"/>
    <mergeCell ref="X71:AA71"/>
    <mergeCell ref="X72:AA72"/>
    <mergeCell ref="B144:P144"/>
    <mergeCell ref="Q144:W144"/>
    <mergeCell ref="X144:AF144"/>
    <mergeCell ref="V140:Y140"/>
    <mergeCell ref="AA102:AF102"/>
    <mergeCell ref="B103:L103"/>
    <mergeCell ref="M103:Q103"/>
    <mergeCell ref="R103:Z103"/>
    <mergeCell ref="AA103:AF103"/>
    <mergeCell ref="R107:Z107"/>
    <mergeCell ref="B109:L109"/>
    <mergeCell ref="M109:Q109"/>
    <mergeCell ref="AA109:AF109"/>
    <mergeCell ref="B110:L110"/>
    <mergeCell ref="AA110:AF110"/>
    <mergeCell ref="V108:Z108"/>
    <mergeCell ref="AA107:AF108"/>
    <mergeCell ref="V109:Z109"/>
    <mergeCell ref="AB14:AC14"/>
    <mergeCell ref="X65:AA65"/>
    <mergeCell ref="V139:Y139"/>
    <mergeCell ref="Q142:W142"/>
    <mergeCell ref="X142:AF142"/>
    <mergeCell ref="B143:P143"/>
    <mergeCell ref="Q143:W143"/>
    <mergeCell ref="X143:AF143"/>
    <mergeCell ref="X29:AB29"/>
    <mergeCell ref="X73:AA73"/>
    <mergeCell ref="X74:AA74"/>
    <mergeCell ref="X75:AA75"/>
    <mergeCell ref="O45:P45"/>
    <mergeCell ref="N24:R25"/>
    <mergeCell ref="N26:R26"/>
    <mergeCell ref="B16:G16"/>
    <mergeCell ref="I16:M16"/>
    <mergeCell ref="N16:O16"/>
    <mergeCell ref="P16:U16"/>
    <mergeCell ref="Y45:Z45"/>
    <mergeCell ref="AB26:AF26"/>
    <mergeCell ref="B26:H26"/>
    <mergeCell ref="I24:M25"/>
    <mergeCell ref="I26:M26"/>
    <mergeCell ref="W9:AA9"/>
    <mergeCell ref="AB9:AC9"/>
    <mergeCell ref="P10:U10"/>
    <mergeCell ref="W10:AA10"/>
    <mergeCell ref="AB10:AC10"/>
    <mergeCell ref="P11:U11"/>
    <mergeCell ref="W11:AA11"/>
    <mergeCell ref="AB11:AC11"/>
    <mergeCell ref="P12:U12"/>
    <mergeCell ref="W12:AA12"/>
    <mergeCell ref="AB12:AC12"/>
    <mergeCell ref="P9:U9"/>
    <mergeCell ref="G2:R2"/>
    <mergeCell ref="S2:U2"/>
    <mergeCell ref="W2:Y2"/>
    <mergeCell ref="Z2:AC2"/>
    <mergeCell ref="R6:V6"/>
    <mergeCell ref="M6:Q6"/>
    <mergeCell ref="B135:P135"/>
    <mergeCell ref="Q135:W135"/>
    <mergeCell ref="X135:AF135"/>
    <mergeCell ref="V131:Y131"/>
    <mergeCell ref="Q133:W133"/>
    <mergeCell ref="X133:AF133"/>
    <mergeCell ref="B134:P134"/>
    <mergeCell ref="Q134:W134"/>
    <mergeCell ref="X134:AF134"/>
    <mergeCell ref="F59:AA59"/>
    <mergeCell ref="V42:X42"/>
    <mergeCell ref="V44:X44"/>
    <mergeCell ref="T45:U45"/>
    <mergeCell ref="B9:G9"/>
    <mergeCell ref="B15:G15"/>
    <mergeCell ref="I15:M15"/>
    <mergeCell ref="N15:O15"/>
    <mergeCell ref="B11:G11"/>
    <mergeCell ref="I9:M9"/>
    <mergeCell ref="N9:O9"/>
    <mergeCell ref="S24:AA24"/>
    <mergeCell ref="S25:V25"/>
    <mergeCell ref="W25:AA25"/>
    <mergeCell ref="B1:E1"/>
    <mergeCell ref="G1:R1"/>
    <mergeCell ref="S1:U1"/>
    <mergeCell ref="W1:Y1"/>
    <mergeCell ref="Z1:AG1"/>
    <mergeCell ref="G4:R4"/>
    <mergeCell ref="S4:Y4"/>
    <mergeCell ref="Z4:AC4"/>
    <mergeCell ref="AD4:AG4"/>
    <mergeCell ref="B3:E3"/>
    <mergeCell ref="G3:R3"/>
    <mergeCell ref="S3:U3"/>
    <mergeCell ref="W3:Y3"/>
    <mergeCell ref="Z3:AC3"/>
    <mergeCell ref="AD3:AG3"/>
    <mergeCell ref="B4:E4"/>
    <mergeCell ref="AD2:AG2"/>
    <mergeCell ref="B24:H25"/>
    <mergeCell ref="B2:E2"/>
    <mergeCell ref="B17:G17"/>
    <mergeCell ref="I17:M17"/>
    <mergeCell ref="N17:O17"/>
    <mergeCell ref="P17:U17"/>
    <mergeCell ref="AB24:AF25"/>
    <mergeCell ref="W17:AA17"/>
    <mergeCell ref="AB17:AC17"/>
    <mergeCell ref="S26:V26"/>
    <mergeCell ref="W26:AA26"/>
    <mergeCell ref="W13:AA13"/>
    <mergeCell ref="AB13:AC13"/>
    <mergeCell ref="W15:AA15"/>
    <mergeCell ref="AB15:AC15"/>
    <mergeCell ref="B10:G10"/>
    <mergeCell ref="I10:M10"/>
    <mergeCell ref="N10:O10"/>
    <mergeCell ref="W16:AA16"/>
    <mergeCell ref="AB16:AC16"/>
    <mergeCell ref="I11:M11"/>
    <mergeCell ref="N11:O11"/>
    <mergeCell ref="P13:U13"/>
    <mergeCell ref="B13:G13"/>
    <mergeCell ref="I13:M13"/>
    <mergeCell ref="N13:O13"/>
    <mergeCell ref="P15:U15"/>
    <mergeCell ref="B14:G14"/>
    <mergeCell ref="I14:M14"/>
    <mergeCell ref="N14:O14"/>
    <mergeCell ref="B12:G12"/>
    <mergeCell ref="I12:M12"/>
    <mergeCell ref="N12:O12"/>
    <mergeCell ref="P14:U14"/>
    <mergeCell ref="W14:AA14"/>
    <mergeCell ref="V226:Y226"/>
    <mergeCell ref="V231:Y231"/>
    <mergeCell ref="V232:Y232"/>
    <mergeCell ref="V233:Y233"/>
    <mergeCell ref="V234:Y234"/>
    <mergeCell ref="V235:Y235"/>
    <mergeCell ref="V236:Y236"/>
    <mergeCell ref="V227:Y227"/>
    <mergeCell ref="F230:I230"/>
    <mergeCell ref="F231:I231"/>
    <mergeCell ref="F232:I232"/>
    <mergeCell ref="F233:I233"/>
    <mergeCell ref="F234:I234"/>
    <mergeCell ref="F235:I235"/>
    <mergeCell ref="F236:I236"/>
    <mergeCell ref="V230:Y230"/>
    <mergeCell ref="F241:I241"/>
    <mergeCell ref="F237:I237"/>
    <mergeCell ref="F238:I238"/>
    <mergeCell ref="F239:I239"/>
    <mergeCell ref="V237:Y237"/>
    <mergeCell ref="V238:Y238"/>
    <mergeCell ref="F240:I240"/>
    <mergeCell ref="V240:Y240"/>
    <mergeCell ref="V254:Y254"/>
    <mergeCell ref="V241:Y241"/>
    <mergeCell ref="V239:Y239"/>
    <mergeCell ref="V271:Y271"/>
    <mergeCell ref="V262:Y262"/>
    <mergeCell ref="V265:Y265"/>
    <mergeCell ref="V250:Y250"/>
    <mergeCell ref="V251:Y251"/>
    <mergeCell ref="Q256:W256"/>
    <mergeCell ref="X256:AF256"/>
    <mergeCell ref="F275:I275"/>
    <mergeCell ref="V272:Y272"/>
    <mergeCell ref="V266:Y266"/>
    <mergeCell ref="F269:I269"/>
    <mergeCell ref="V269:Y269"/>
    <mergeCell ref="F270:I270"/>
    <mergeCell ref="F271:I271"/>
    <mergeCell ref="F272:I272"/>
    <mergeCell ref="B258:P258"/>
    <mergeCell ref="Q258:W258"/>
    <mergeCell ref="X258:AF258"/>
    <mergeCell ref="B257:P257"/>
    <mergeCell ref="Q257:W257"/>
    <mergeCell ref="X257:AF257"/>
    <mergeCell ref="Q321:W321"/>
    <mergeCell ref="X163:AF163"/>
    <mergeCell ref="V171:Y171"/>
    <mergeCell ref="V172:Y172"/>
    <mergeCell ref="V170:Y170"/>
    <mergeCell ref="V167:Y167"/>
    <mergeCell ref="B299:P299"/>
    <mergeCell ref="Q299:W299"/>
    <mergeCell ref="X299:AF299"/>
    <mergeCell ref="Q285:W285"/>
    <mergeCell ref="X285:AF285"/>
    <mergeCell ref="B286:P286"/>
    <mergeCell ref="Q286:W286"/>
    <mergeCell ref="X286:AF286"/>
    <mergeCell ref="B287:P287"/>
    <mergeCell ref="Q287:W287"/>
    <mergeCell ref="X287:AF287"/>
    <mergeCell ref="V291:Y291"/>
    <mergeCell ref="V293:Y293"/>
    <mergeCell ref="V295:Y295"/>
    <mergeCell ref="V296:Y296"/>
    <mergeCell ref="F273:I273"/>
    <mergeCell ref="V270:Y270"/>
    <mergeCell ref="F274:I274"/>
    <mergeCell ref="V223:Y223"/>
    <mergeCell ref="B339:AF339"/>
    <mergeCell ref="V324:Y324"/>
    <mergeCell ref="V325:Y325"/>
    <mergeCell ref="V326:Y326"/>
    <mergeCell ref="X79:AA79"/>
    <mergeCell ref="V328:Y328"/>
    <mergeCell ref="V332:Y332"/>
    <mergeCell ref="V333:Y333"/>
    <mergeCell ref="V334:Y334"/>
    <mergeCell ref="Q319:W319"/>
    <mergeCell ref="X319:AF319"/>
    <mergeCell ref="Q298:W298"/>
    <mergeCell ref="X298:AF298"/>
    <mergeCell ref="V190:Y190"/>
    <mergeCell ref="V192:Y192"/>
    <mergeCell ref="V202:Y202"/>
    <mergeCell ref="V155:Y155"/>
    <mergeCell ref="V160:Y160"/>
    <mergeCell ref="Q162:W162"/>
    <mergeCell ref="B320:P320"/>
    <mergeCell ref="Q320:W320"/>
    <mergeCell ref="X320:AF320"/>
    <mergeCell ref="B321:P321"/>
    <mergeCell ref="W40:AF41"/>
    <mergeCell ref="W6:AC6"/>
    <mergeCell ref="Q336:W336"/>
    <mergeCell ref="X336:AF336"/>
    <mergeCell ref="B337:P337"/>
    <mergeCell ref="Q337:W337"/>
    <mergeCell ref="X337:AF337"/>
    <mergeCell ref="B338:P338"/>
    <mergeCell ref="Q338:W338"/>
    <mergeCell ref="X338:AF338"/>
    <mergeCell ref="X321:AF321"/>
    <mergeCell ref="B300:P300"/>
    <mergeCell ref="Q300:W300"/>
    <mergeCell ref="X300:AF300"/>
    <mergeCell ref="V314:Y314"/>
    <mergeCell ref="V315:Y315"/>
    <mergeCell ref="V316:Y316"/>
    <mergeCell ref="V317:Y317"/>
    <mergeCell ref="V279:Y279"/>
    <mergeCell ref="V273:Y273"/>
    <mergeCell ref="V274:Y274"/>
    <mergeCell ref="V278:Y278"/>
    <mergeCell ref="V280:Y280"/>
    <mergeCell ref="V283:Y283"/>
  </mergeCells>
  <conditionalFormatting sqref="Z150:AF150">
    <cfRule type="containsText" dxfId="3" priority="7" operator="containsText" text="Shall not be less than [k]">
      <formula>NOT(ISERROR(SEARCH("Shall not be less than [k]",Z150)))</formula>
    </cfRule>
    <cfRule type="containsText" dxfId="2" priority="8" operator="containsText" text="[OK]">
      <formula>NOT(ISERROR(SEARCH("[OK]",Z150)))</formula>
    </cfRule>
  </conditionalFormatting>
  <conditionalFormatting sqref="W137:Y137 AD75:AF81 AD137:AF137">
    <cfRule type="containsText" dxfId="1" priority="6" operator="containsText" text="Increase">
      <formula>NOT(ISERROR(SEARCH("Increase",W75)))</formula>
    </cfRule>
  </conditionalFormatting>
  <conditionalFormatting sqref="AF154">
    <cfRule type="cellIs" dxfId="0" priority="1" operator="equal">
      <formula>"[Preferably &lt; 200]"</formula>
    </cfRule>
  </conditionalFormatting>
  <dataValidations count="9">
    <dataValidation type="list" allowBlank="1" showInputMessage="1" showErrorMessage="1" sqref="M6:Q6" xr:uid="{00000000-0002-0000-0200-000000000000}">
      <formula1>"Indian,Japanese,European,US Metric,US Customary,Chilean,British,Australian,Russian,Chinese,Built-up"</formula1>
    </dataValidation>
    <dataValidation type="list" allowBlank="1" showInputMessage="1" showErrorMessage="1" sqref="S6:V6" xr:uid="{00000000-0002-0000-0200-000001000000}">
      <formula1>"JB Sections,LB Sections,MB Sections,WB Sections,HB Sections, SC Sections"</formula1>
    </dataValidation>
    <dataValidation type="list" allowBlank="1" showInputMessage="1" showErrorMessage="1" sqref="I26:M26" xr:uid="{00000000-0002-0000-0200-000002000000}">
      <formula1>"IS800-2007,IS2062,ASTM,EN10025-2-T7,EN10025-2-T8,EN10025-3,EN10025-4,EN10025-5,GBT1591-1994,GBT1591-2008"</formula1>
    </dataValidation>
    <dataValidation type="list" allowBlank="1" showInputMessage="1" showErrorMessage="1" sqref="F92 U92" xr:uid="{00000000-0002-0000-0200-000003000000}">
      <formula1>"Rotation Fixed and Translation Fixed,Rotation Free and Translation Fixed,Rotation Fixed and Translation Free,Rotation Free and Translation Free"</formula1>
    </dataValidation>
    <dataValidation type="list" allowBlank="1" showInputMessage="1" showErrorMessage="1" sqref="X78:AA78" xr:uid="{00000000-0002-0000-0200-000004000000}">
      <formula1>"Yes,No"</formula1>
    </dataValidation>
    <dataValidation type="list" allowBlank="1" showInputMessage="1" showErrorMessage="1" sqref="X89:AA89" xr:uid="{00000000-0002-0000-0200-000005000000}">
      <formula1>"ASD,LRFD"</formula1>
    </dataValidation>
    <dataValidation type="list" allowBlank="1" showInputMessage="1" showErrorMessage="1" sqref="X79:AA79" xr:uid="{00000000-0002-0000-0200-000006000000}">
      <formula1>"One Side,Both Sides"</formula1>
    </dataValidation>
    <dataValidation type="list" allowBlank="1" showInputMessage="1" showErrorMessage="1" sqref="R6" xr:uid="{334EE26B-587A-4491-958E-D952413880D9}">
      <formula1>"IPE Sections,IPN Sections,HD Sections,HE Sections,HL Sections,HP Sections"</formula1>
    </dataValidation>
    <dataValidation type="list" allowBlank="1" showInputMessage="1" showErrorMessage="1" sqref="W6" xr:uid="{0B34B33F-728F-4DDF-A08D-6A65A4D5BB9D}">
      <formula1>"IPEA100x6.9,IPE100x8.1,IPEA120x8.7,IPE120x10.4,IPEA140x10.5,IPE140x12.9,IPEA160x12.7,IPE160x15.8,IPEA180x15.4,IPE180x18.8,IPEO180x21.3,IPEA200x18.4,IPE200x22.4,IPEO200x25.1,IPEA220x22.2,IPE220x26.2,IPEO220x29.4,IPEA240x26.2,IPE240x30.7,IPEO240x34.3,IPEA270x30.7,IPE270x36.1,IPEO270x42.3,IPEA300x36.5,IPE300x42.2,IPEO300x49.3,IPEA330x43.0,IPE330x49.1,IPEO330x57.0,IPEA360x50.2,IPE360x57.1,IPEO360x66.0,IPEA400x57.4,IPE400x66.3,IPEO400x75.7,IPEA450x67.2,IPE450x77.6,IPEO450x92.4,IPEA500x79.4,IPE500x90.7,IPEO500x107.3,IPEA550x92.1,IPE550x105.5,IPEO550x122.5,IPEA600x107.6,IPE600x122.4,IPEO600x154.5,IPE750x147x147.2,IPE750x173x173.7,IPE750x196x196.9"</formula1>
    </dataValidation>
  </dataValidations>
  <printOptions horizontalCentered="1"/>
  <pageMargins left="0.51181102362204722" right="0.51181102362204722" top="0.55118110236220474" bottom="0.55118110236220474" header="0.31496062992125984" footer="0.31496062992125984"/>
  <pageSetup paperSize="9" fitToHeight="0" orientation="portrait" useFirstPageNumber="1" r:id="rId1"/>
  <headerFooter>
    <oddHeader>&amp;L&amp;"Tahoma,Regular"&amp;8&amp;K03+000Srinivasa Rao Masanam</oddHeader>
    <oddFooter>&amp;R&amp;"Tahoma,Regular"&amp;8&amp;K03+000©Elevated Terrains Consulting Engineers</oddFooter>
  </headerFooter>
  <rowBreaks count="1" manualBreakCount="1">
    <brk id="62" max="32" man="1"/>
  </rowBreaks>
  <drawing r:id="rId2"/>
  <legacyDrawing r:id="rId3"/>
  <controls>
    <mc:AlternateContent xmlns:mc="http://schemas.openxmlformats.org/markup-compatibility/2006">
      <mc:Choice Requires="x14">
        <control shapeId="1025" r:id="rId4" name="btnEconomicalSection">
          <controlPr autoLine="0" r:id="rId5">
            <anchor moveWithCells="1">
              <from>
                <xdr:col>1</xdr:col>
                <xdr:colOff>28575</xdr:colOff>
                <xdr:row>39</xdr:row>
                <xdr:rowOff>19050</xdr:rowOff>
              </from>
              <to>
                <xdr:col>8</xdr:col>
                <xdr:colOff>161925</xdr:colOff>
                <xdr:row>40</xdr:row>
                <xdr:rowOff>95250</xdr:rowOff>
              </to>
            </anchor>
          </controlPr>
        </control>
      </mc:Choice>
      <mc:Fallback>
        <control shapeId="1025" r:id="rId4" name="btnEconomicalSec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8000000}">
          <x14:formula1>
            <xm:f>ProfilesList!$A$1:$A$14</xm:f>
          </x14:formula1>
          <xm:sqref>X6:AA6</xm:sqref>
        </x14:dataValidation>
        <x14:dataValidation type="list" allowBlank="1" showInputMessage="1" showErrorMessage="1" xr:uid="{00000000-0002-0000-0200-000009000000}">
          <x14:formula1>
            <xm:f>ProfilesList!$D$1:$D$9</xm:f>
          </x14:formula1>
          <xm:sqref>O26:R26</xm:sqref>
        </x14:dataValidation>
        <x14:dataValidation type="list" allowBlank="1" showInputMessage="1" showErrorMessage="1" xr:uid="{00000000-0002-0000-0200-00000B000000}">
          <x14:formula1>
            <xm:f>ProfilesList!$D$1:$D$16</xm:f>
          </x14:formula1>
          <xm:sqref>N26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rofilesList"/>
  <dimension ref="A1:L190"/>
  <sheetViews>
    <sheetView topLeftCell="A760" workbookViewId="0">
      <selection activeCell="A779" sqref="A779"/>
    </sheetView>
  </sheetViews>
  <sheetFormatPr defaultRowHeight="10.5" x14ac:dyDescent="0.15"/>
  <cols>
    <col min="1" max="1" width="14" style="269" bestFit="1" customWidth="1"/>
    <col min="2" max="2" width="11.85546875" style="112" customWidth="1"/>
    <col min="3" max="3" width="9.140625" style="110"/>
    <col min="4" max="4" width="12.7109375" style="269" bestFit="1" customWidth="1"/>
    <col min="5" max="10" width="9.140625" style="110"/>
    <col min="11" max="11" width="14.85546875" style="242" customWidth="1"/>
    <col min="12" max="12" width="12.42578125" style="244" customWidth="1"/>
    <col min="13" max="16384" width="9.140625" style="110"/>
  </cols>
  <sheetData>
    <row r="1" spans="1:12" x14ac:dyDescent="0.15">
      <c r="A1" s="269" t="s">
        <v>383</v>
      </c>
      <c r="D1" s="269" t="s">
        <v>367</v>
      </c>
      <c r="K1" s="241" t="s">
        <v>297</v>
      </c>
      <c r="L1" s="243" t="s">
        <v>298</v>
      </c>
    </row>
    <row r="2" spans="1:12" x14ac:dyDescent="0.15">
      <c r="A2" s="269" t="s">
        <v>384</v>
      </c>
      <c r="D2" s="269" t="s">
        <v>368</v>
      </c>
    </row>
    <row r="3" spans="1:12" x14ac:dyDescent="0.15">
      <c r="A3" s="269" t="s">
        <v>385</v>
      </c>
      <c r="D3" s="269" t="s">
        <v>369</v>
      </c>
    </row>
    <row r="4" spans="1:12" x14ac:dyDescent="0.15">
      <c r="A4" s="269" t="s">
        <v>386</v>
      </c>
      <c r="D4" s="269" t="s">
        <v>370</v>
      </c>
    </row>
    <row r="5" spans="1:12" x14ac:dyDescent="0.15">
      <c r="A5" s="269" t="s">
        <v>387</v>
      </c>
      <c r="D5" s="269" t="s">
        <v>371</v>
      </c>
    </row>
    <row r="6" spans="1:12" x14ac:dyDescent="0.15">
      <c r="A6" s="269" t="s">
        <v>388</v>
      </c>
      <c r="D6" s="269" t="s">
        <v>372</v>
      </c>
    </row>
    <row r="7" spans="1:12" x14ac:dyDescent="0.15">
      <c r="A7" s="269" t="s">
        <v>389</v>
      </c>
      <c r="D7" s="269" t="s">
        <v>373</v>
      </c>
    </row>
    <row r="8" spans="1:12" x14ac:dyDescent="0.15">
      <c r="A8" s="269" t="s">
        <v>390</v>
      </c>
      <c r="D8" s="269" t="s">
        <v>374</v>
      </c>
    </row>
    <row r="9" spans="1:12" x14ac:dyDescent="0.15">
      <c r="A9" s="269" t="s">
        <v>391</v>
      </c>
      <c r="D9" s="269" t="s">
        <v>375</v>
      </c>
    </row>
    <row r="10" spans="1:12" x14ac:dyDescent="0.15">
      <c r="A10" s="269" t="s">
        <v>392</v>
      </c>
      <c r="D10" s="269" t="s">
        <v>376</v>
      </c>
    </row>
    <row r="11" spans="1:12" x14ac:dyDescent="0.15">
      <c r="A11" s="269" t="s">
        <v>393</v>
      </c>
      <c r="D11" s="269" t="s">
        <v>377</v>
      </c>
    </row>
    <row r="12" spans="1:12" x14ac:dyDescent="0.15">
      <c r="A12" s="269" t="s">
        <v>394</v>
      </c>
      <c r="D12" s="269" t="s">
        <v>378</v>
      </c>
    </row>
    <row r="13" spans="1:12" x14ac:dyDescent="0.15">
      <c r="A13" s="269" t="s">
        <v>395</v>
      </c>
      <c r="D13" s="269" t="s">
        <v>379</v>
      </c>
    </row>
    <row r="14" spans="1:12" x14ac:dyDescent="0.15">
      <c r="A14" s="269" t="s">
        <v>396</v>
      </c>
      <c r="D14" s="269" t="s">
        <v>380</v>
      </c>
    </row>
    <row r="15" spans="1:12" x14ac:dyDescent="0.15">
      <c r="A15" s="269" t="s">
        <v>397</v>
      </c>
      <c r="D15" s="269" t="s">
        <v>381</v>
      </c>
    </row>
    <row r="16" spans="1:12" x14ac:dyDescent="0.15">
      <c r="A16" s="269" t="s">
        <v>398</v>
      </c>
      <c r="D16" s="269" t="s">
        <v>382</v>
      </c>
    </row>
    <row r="17" spans="1:1" x14ac:dyDescent="0.15">
      <c r="A17" s="269" t="s">
        <v>399</v>
      </c>
    </row>
    <row r="18" spans="1:1" x14ac:dyDescent="0.15">
      <c r="A18" s="269" t="s">
        <v>400</v>
      </c>
    </row>
    <row r="19" spans="1:1" x14ac:dyDescent="0.15">
      <c r="A19" s="269" t="s">
        <v>401</v>
      </c>
    </row>
    <row r="20" spans="1:1" x14ac:dyDescent="0.15">
      <c r="A20" s="269" t="s">
        <v>402</v>
      </c>
    </row>
    <row r="21" spans="1:1" x14ac:dyDescent="0.15">
      <c r="A21" s="269" t="s">
        <v>403</v>
      </c>
    </row>
    <row r="22" spans="1:1" x14ac:dyDescent="0.15">
      <c r="A22" s="269" t="s">
        <v>404</v>
      </c>
    </row>
    <row r="23" spans="1:1" x14ac:dyDescent="0.15">
      <c r="A23" s="269" t="s">
        <v>405</v>
      </c>
    </row>
    <row r="24" spans="1:1" x14ac:dyDescent="0.15">
      <c r="A24" s="269" t="s">
        <v>406</v>
      </c>
    </row>
    <row r="25" spans="1:1" x14ac:dyDescent="0.15">
      <c r="A25" s="269" t="s">
        <v>407</v>
      </c>
    </row>
    <row r="26" spans="1:1" x14ac:dyDescent="0.15">
      <c r="A26" s="269" t="s">
        <v>408</v>
      </c>
    </row>
    <row r="27" spans="1:1" x14ac:dyDescent="0.15">
      <c r="A27" s="269" t="s">
        <v>409</v>
      </c>
    </row>
    <row r="28" spans="1:1" x14ac:dyDescent="0.15">
      <c r="A28" s="269" t="s">
        <v>410</v>
      </c>
    </row>
    <row r="29" spans="1:1" x14ac:dyDescent="0.15">
      <c r="A29" s="269" t="s">
        <v>411</v>
      </c>
    </row>
    <row r="30" spans="1:1" x14ac:dyDescent="0.15">
      <c r="A30" s="269" t="s">
        <v>412</v>
      </c>
    </row>
    <row r="31" spans="1:1" x14ac:dyDescent="0.15">
      <c r="A31" s="269" t="s">
        <v>413</v>
      </c>
    </row>
    <row r="32" spans="1:1" x14ac:dyDescent="0.15">
      <c r="A32" s="269" t="s">
        <v>414</v>
      </c>
    </row>
    <row r="33" spans="1:1" x14ac:dyDescent="0.15">
      <c r="A33" s="269" t="s">
        <v>415</v>
      </c>
    </row>
    <row r="34" spans="1:1" x14ac:dyDescent="0.15">
      <c r="A34" s="269" t="s">
        <v>416</v>
      </c>
    </row>
    <row r="35" spans="1:1" x14ac:dyDescent="0.15">
      <c r="A35" s="269" t="s">
        <v>417</v>
      </c>
    </row>
    <row r="36" spans="1:1" x14ac:dyDescent="0.15">
      <c r="A36" s="269" t="s">
        <v>418</v>
      </c>
    </row>
    <row r="37" spans="1:1" x14ac:dyDescent="0.15">
      <c r="A37" s="269" t="s">
        <v>419</v>
      </c>
    </row>
    <row r="38" spans="1:1" x14ac:dyDescent="0.15">
      <c r="A38" s="269" t="s">
        <v>420</v>
      </c>
    </row>
    <row r="39" spans="1:1" x14ac:dyDescent="0.15">
      <c r="A39" s="269" t="s">
        <v>421</v>
      </c>
    </row>
    <row r="40" spans="1:1" x14ac:dyDescent="0.15">
      <c r="A40" s="269" t="s">
        <v>422</v>
      </c>
    </row>
    <row r="41" spans="1:1" x14ac:dyDescent="0.15">
      <c r="A41" s="269" t="s">
        <v>423</v>
      </c>
    </row>
    <row r="42" spans="1:1" x14ac:dyDescent="0.15">
      <c r="A42" s="269" t="s">
        <v>424</v>
      </c>
    </row>
    <row r="43" spans="1:1" x14ac:dyDescent="0.15">
      <c r="A43" s="269" t="s">
        <v>425</v>
      </c>
    </row>
    <row r="44" spans="1:1" x14ac:dyDescent="0.15">
      <c r="A44" s="269" t="s">
        <v>426</v>
      </c>
    </row>
    <row r="45" spans="1:1" x14ac:dyDescent="0.15">
      <c r="A45" s="269" t="s">
        <v>427</v>
      </c>
    </row>
    <row r="46" spans="1:1" x14ac:dyDescent="0.15">
      <c r="A46" s="269" t="s">
        <v>428</v>
      </c>
    </row>
    <row r="47" spans="1:1" x14ac:dyDescent="0.15">
      <c r="A47" s="269" t="s">
        <v>429</v>
      </c>
    </row>
    <row r="48" spans="1:1" x14ac:dyDescent="0.15">
      <c r="A48" s="269" t="s">
        <v>430</v>
      </c>
    </row>
    <row r="49" spans="1:1" x14ac:dyDescent="0.15">
      <c r="A49" s="269" t="s">
        <v>431</v>
      </c>
    </row>
    <row r="50" spans="1:1" x14ac:dyDescent="0.15">
      <c r="A50" s="269" t="s">
        <v>432</v>
      </c>
    </row>
    <row r="51" spans="1:1" x14ac:dyDescent="0.15">
      <c r="A51" s="269" t="s">
        <v>433</v>
      </c>
    </row>
    <row r="52" spans="1:1" x14ac:dyDescent="0.15">
      <c r="A52" s="269" t="s">
        <v>434</v>
      </c>
    </row>
    <row r="53" spans="1:1" x14ac:dyDescent="0.15">
      <c r="A53" s="269" t="s">
        <v>435</v>
      </c>
    </row>
    <row r="54" spans="1:1" x14ac:dyDescent="0.15">
      <c r="A54" s="269" t="s">
        <v>436</v>
      </c>
    </row>
    <row r="55" spans="1:1" x14ac:dyDescent="0.15">
      <c r="A55" s="269" t="s">
        <v>437</v>
      </c>
    </row>
    <row r="56" spans="1:1" x14ac:dyDescent="0.15">
      <c r="A56" s="269" t="s">
        <v>438</v>
      </c>
    </row>
    <row r="57" spans="1:1" x14ac:dyDescent="0.15">
      <c r="A57" s="269" t="s">
        <v>439</v>
      </c>
    </row>
    <row r="58" spans="1:1" x14ac:dyDescent="0.15">
      <c r="A58" s="269" t="s">
        <v>440</v>
      </c>
    </row>
    <row r="59" spans="1:1" x14ac:dyDescent="0.15">
      <c r="A59" s="269" t="s">
        <v>441</v>
      </c>
    </row>
    <row r="60" spans="1:1" x14ac:dyDescent="0.15">
      <c r="A60" s="269" t="s">
        <v>442</v>
      </c>
    </row>
    <row r="61" spans="1:1" x14ac:dyDescent="0.15">
      <c r="A61" s="269" t="s">
        <v>443</v>
      </c>
    </row>
    <row r="62" spans="1:1" x14ac:dyDescent="0.15">
      <c r="A62" s="269" t="s">
        <v>444</v>
      </c>
    </row>
    <row r="63" spans="1:1" x14ac:dyDescent="0.15">
      <c r="A63" s="269" t="s">
        <v>445</v>
      </c>
    </row>
    <row r="64" spans="1:1" x14ac:dyDescent="0.15">
      <c r="A64" s="269" t="s">
        <v>446</v>
      </c>
    </row>
    <row r="65" spans="1:1" x14ac:dyDescent="0.15">
      <c r="A65" s="269" t="s">
        <v>447</v>
      </c>
    </row>
    <row r="66" spans="1:1" x14ac:dyDescent="0.15">
      <c r="A66" s="269" t="s">
        <v>448</v>
      </c>
    </row>
    <row r="67" spans="1:1" x14ac:dyDescent="0.15">
      <c r="A67" s="269" t="s">
        <v>449</v>
      </c>
    </row>
    <row r="68" spans="1:1" x14ac:dyDescent="0.15">
      <c r="A68" s="269" t="s">
        <v>450</v>
      </c>
    </row>
    <row r="69" spans="1:1" x14ac:dyDescent="0.15">
      <c r="A69" s="269" t="s">
        <v>451</v>
      </c>
    </row>
    <row r="70" spans="1:1" x14ac:dyDescent="0.15">
      <c r="A70" s="269" t="s">
        <v>452</v>
      </c>
    </row>
    <row r="71" spans="1:1" x14ac:dyDescent="0.15">
      <c r="A71" s="269" t="s">
        <v>453</v>
      </c>
    </row>
    <row r="72" spans="1:1" x14ac:dyDescent="0.15">
      <c r="A72" s="269" t="s">
        <v>454</v>
      </c>
    </row>
    <row r="73" spans="1:1" x14ac:dyDescent="0.15">
      <c r="A73" s="269" t="s">
        <v>455</v>
      </c>
    </row>
    <row r="74" spans="1:1" x14ac:dyDescent="0.15">
      <c r="A74" s="269" t="s">
        <v>456</v>
      </c>
    </row>
    <row r="75" spans="1:1" x14ac:dyDescent="0.15">
      <c r="A75" s="269" t="s">
        <v>457</v>
      </c>
    </row>
    <row r="76" spans="1:1" x14ac:dyDescent="0.15">
      <c r="A76" s="269" t="s">
        <v>458</v>
      </c>
    </row>
    <row r="77" spans="1:1" x14ac:dyDescent="0.15">
      <c r="A77" s="269" t="s">
        <v>459</v>
      </c>
    </row>
    <row r="78" spans="1:1" x14ac:dyDescent="0.15">
      <c r="A78" s="269" t="s">
        <v>460</v>
      </c>
    </row>
    <row r="79" spans="1:1" x14ac:dyDescent="0.15">
      <c r="A79" s="269" t="s">
        <v>461</v>
      </c>
    </row>
    <row r="80" spans="1:1" x14ac:dyDescent="0.15">
      <c r="A80" s="269" t="s">
        <v>462</v>
      </c>
    </row>
    <row r="81" spans="1:1" x14ac:dyDescent="0.15">
      <c r="A81" s="269" t="s">
        <v>463</v>
      </c>
    </row>
    <row r="82" spans="1:1" x14ac:dyDescent="0.15">
      <c r="A82" s="269" t="s">
        <v>464</v>
      </c>
    </row>
    <row r="83" spans="1:1" x14ac:dyDescent="0.15">
      <c r="A83" s="269" t="s">
        <v>465</v>
      </c>
    </row>
    <row r="84" spans="1:1" x14ac:dyDescent="0.15">
      <c r="A84" s="269" t="s">
        <v>466</v>
      </c>
    </row>
    <row r="85" spans="1:1" x14ac:dyDescent="0.15">
      <c r="A85" s="269" t="s">
        <v>467</v>
      </c>
    </row>
    <row r="86" spans="1:1" x14ac:dyDescent="0.15">
      <c r="A86" s="269" t="s">
        <v>468</v>
      </c>
    </row>
    <row r="87" spans="1:1" x14ac:dyDescent="0.15">
      <c r="A87" s="269" t="s">
        <v>469</v>
      </c>
    </row>
    <row r="88" spans="1:1" x14ac:dyDescent="0.15">
      <c r="A88" s="269" t="s">
        <v>470</v>
      </c>
    </row>
    <row r="89" spans="1:1" x14ac:dyDescent="0.15">
      <c r="A89" s="269" t="s">
        <v>471</v>
      </c>
    </row>
    <row r="90" spans="1:1" x14ac:dyDescent="0.15">
      <c r="A90" s="269" t="s">
        <v>472</v>
      </c>
    </row>
    <row r="91" spans="1:1" x14ac:dyDescent="0.15">
      <c r="A91" s="269" t="s">
        <v>473</v>
      </c>
    </row>
    <row r="92" spans="1:1" x14ac:dyDescent="0.15">
      <c r="A92" s="269" t="s">
        <v>474</v>
      </c>
    </row>
    <row r="93" spans="1:1" x14ac:dyDescent="0.15">
      <c r="A93" s="269" t="s">
        <v>475</v>
      </c>
    </row>
    <row r="94" spans="1:1" x14ac:dyDescent="0.15">
      <c r="A94" s="269" t="s">
        <v>476</v>
      </c>
    </row>
    <row r="95" spans="1:1" x14ac:dyDescent="0.15">
      <c r="A95" s="269" t="s">
        <v>477</v>
      </c>
    </row>
    <row r="96" spans="1:1" x14ac:dyDescent="0.15">
      <c r="A96" s="269" t="s">
        <v>478</v>
      </c>
    </row>
    <row r="97" spans="1:1" x14ac:dyDescent="0.15">
      <c r="A97" s="269" t="s">
        <v>479</v>
      </c>
    </row>
    <row r="98" spans="1:1" x14ac:dyDescent="0.15">
      <c r="A98" s="269" t="s">
        <v>480</v>
      </c>
    </row>
    <row r="99" spans="1:1" x14ac:dyDescent="0.15">
      <c r="A99" s="269" t="s">
        <v>481</v>
      </c>
    </row>
    <row r="100" spans="1:1" x14ac:dyDescent="0.15">
      <c r="A100" s="269" t="s">
        <v>482</v>
      </c>
    </row>
    <row r="101" spans="1:1" x14ac:dyDescent="0.15">
      <c r="A101" s="269" t="s">
        <v>483</v>
      </c>
    </row>
    <row r="102" spans="1:1" x14ac:dyDescent="0.15">
      <c r="A102" s="269" t="s">
        <v>484</v>
      </c>
    </row>
    <row r="103" spans="1:1" x14ac:dyDescent="0.15">
      <c r="A103" s="269" t="s">
        <v>485</v>
      </c>
    </row>
    <row r="104" spans="1:1" x14ac:dyDescent="0.15">
      <c r="A104" s="269" t="s">
        <v>486</v>
      </c>
    </row>
    <row r="105" spans="1:1" x14ac:dyDescent="0.15">
      <c r="A105" s="269" t="s">
        <v>487</v>
      </c>
    </row>
    <row r="106" spans="1:1" x14ac:dyDescent="0.15">
      <c r="A106" s="269" t="s">
        <v>488</v>
      </c>
    </row>
    <row r="107" spans="1:1" x14ac:dyDescent="0.15">
      <c r="A107" s="269" t="s">
        <v>489</v>
      </c>
    </row>
    <row r="108" spans="1:1" x14ac:dyDescent="0.15">
      <c r="A108" s="269" t="s">
        <v>490</v>
      </c>
    </row>
    <row r="109" spans="1:1" x14ac:dyDescent="0.15">
      <c r="A109" s="269" t="s">
        <v>491</v>
      </c>
    </row>
    <row r="110" spans="1:1" x14ac:dyDescent="0.15">
      <c r="A110" s="269" t="s">
        <v>492</v>
      </c>
    </row>
    <row r="111" spans="1:1" x14ac:dyDescent="0.15">
      <c r="A111" s="269" t="s">
        <v>493</v>
      </c>
    </row>
    <row r="112" spans="1:1" x14ac:dyDescent="0.15">
      <c r="A112" s="269" t="s">
        <v>494</v>
      </c>
    </row>
    <row r="113" spans="1:1" x14ac:dyDescent="0.15">
      <c r="A113" s="269" t="s">
        <v>495</v>
      </c>
    </row>
    <row r="114" spans="1:1" x14ac:dyDescent="0.15">
      <c r="A114" s="269" t="s">
        <v>496</v>
      </c>
    </row>
    <row r="115" spans="1:1" x14ac:dyDescent="0.15">
      <c r="A115" s="269" t="s">
        <v>497</v>
      </c>
    </row>
    <row r="116" spans="1:1" x14ac:dyDescent="0.15">
      <c r="A116" s="269" t="s">
        <v>498</v>
      </c>
    </row>
    <row r="117" spans="1:1" x14ac:dyDescent="0.15">
      <c r="A117" s="269" t="s">
        <v>499</v>
      </c>
    </row>
    <row r="118" spans="1:1" x14ac:dyDescent="0.15">
      <c r="A118" s="269" t="s">
        <v>500</v>
      </c>
    </row>
    <row r="119" spans="1:1" x14ac:dyDescent="0.15">
      <c r="A119" s="269" t="s">
        <v>501</v>
      </c>
    </row>
    <row r="120" spans="1:1" x14ac:dyDescent="0.15">
      <c r="A120" s="269" t="s">
        <v>502</v>
      </c>
    </row>
    <row r="121" spans="1:1" x14ac:dyDescent="0.15">
      <c r="A121" s="269" t="s">
        <v>503</v>
      </c>
    </row>
    <row r="122" spans="1:1" x14ac:dyDescent="0.15">
      <c r="A122" s="269" t="s">
        <v>504</v>
      </c>
    </row>
    <row r="123" spans="1:1" x14ac:dyDescent="0.15">
      <c r="A123" s="269" t="s">
        <v>505</v>
      </c>
    </row>
    <row r="124" spans="1:1" x14ac:dyDescent="0.15">
      <c r="A124" s="269" t="s">
        <v>506</v>
      </c>
    </row>
    <row r="125" spans="1:1" x14ac:dyDescent="0.15">
      <c r="A125" s="269" t="s">
        <v>507</v>
      </c>
    </row>
    <row r="126" spans="1:1" x14ac:dyDescent="0.15">
      <c r="A126" s="269" t="s">
        <v>508</v>
      </c>
    </row>
    <row r="127" spans="1:1" x14ac:dyDescent="0.15">
      <c r="A127" s="269" t="s">
        <v>509</v>
      </c>
    </row>
    <row r="128" spans="1:1" x14ac:dyDescent="0.15">
      <c r="A128" s="269" t="s">
        <v>510</v>
      </c>
    </row>
    <row r="129" spans="1:1" x14ac:dyDescent="0.15">
      <c r="A129" s="269" t="s">
        <v>511</v>
      </c>
    </row>
    <row r="130" spans="1:1" x14ac:dyDescent="0.15">
      <c r="A130" s="269" t="s">
        <v>512</v>
      </c>
    </row>
    <row r="131" spans="1:1" x14ac:dyDescent="0.15">
      <c r="A131" s="269" t="s">
        <v>513</v>
      </c>
    </row>
    <row r="132" spans="1:1" x14ac:dyDescent="0.15">
      <c r="A132" s="269" t="s">
        <v>514</v>
      </c>
    </row>
    <row r="133" spans="1:1" x14ac:dyDescent="0.15">
      <c r="A133" s="269" t="s">
        <v>515</v>
      </c>
    </row>
    <row r="134" spans="1:1" x14ac:dyDescent="0.15">
      <c r="A134" s="269" t="s">
        <v>516</v>
      </c>
    </row>
    <row r="135" spans="1:1" x14ac:dyDescent="0.15">
      <c r="A135" s="269" t="s">
        <v>517</v>
      </c>
    </row>
    <row r="136" spans="1:1" x14ac:dyDescent="0.15">
      <c r="A136" s="269" t="s">
        <v>518</v>
      </c>
    </row>
    <row r="137" spans="1:1" x14ac:dyDescent="0.15">
      <c r="A137" s="269" t="s">
        <v>519</v>
      </c>
    </row>
    <row r="138" spans="1:1" x14ac:dyDescent="0.15">
      <c r="A138" s="269" t="s">
        <v>520</v>
      </c>
    </row>
    <row r="139" spans="1:1" x14ac:dyDescent="0.15">
      <c r="A139" s="269" t="s">
        <v>521</v>
      </c>
    </row>
    <row r="140" spans="1:1" x14ac:dyDescent="0.15">
      <c r="A140" s="269" t="s">
        <v>522</v>
      </c>
    </row>
    <row r="141" spans="1:1" x14ac:dyDescent="0.15">
      <c r="A141" s="269" t="s">
        <v>523</v>
      </c>
    </row>
    <row r="142" spans="1:1" x14ac:dyDescent="0.15">
      <c r="A142" s="269" t="s">
        <v>524</v>
      </c>
    </row>
    <row r="143" spans="1:1" x14ac:dyDescent="0.15">
      <c r="A143" s="269" t="s">
        <v>525</v>
      </c>
    </row>
    <row r="144" spans="1:1" x14ac:dyDescent="0.15">
      <c r="A144" s="269" t="s">
        <v>526</v>
      </c>
    </row>
    <row r="145" spans="1:1" x14ac:dyDescent="0.15">
      <c r="A145" s="269" t="s">
        <v>527</v>
      </c>
    </row>
    <row r="146" spans="1:1" x14ac:dyDescent="0.15">
      <c r="A146" s="269" t="s">
        <v>528</v>
      </c>
    </row>
    <row r="147" spans="1:1" x14ac:dyDescent="0.15">
      <c r="A147" s="269" t="s">
        <v>529</v>
      </c>
    </row>
    <row r="148" spans="1:1" x14ac:dyDescent="0.15">
      <c r="A148" s="269" t="s">
        <v>530</v>
      </c>
    </row>
    <row r="149" spans="1:1" x14ac:dyDescent="0.15">
      <c r="A149" s="269" t="s">
        <v>531</v>
      </c>
    </row>
    <row r="150" spans="1:1" x14ac:dyDescent="0.15">
      <c r="A150" s="269" t="s">
        <v>532</v>
      </c>
    </row>
    <row r="151" spans="1:1" x14ac:dyDescent="0.15">
      <c r="A151" s="269" t="s">
        <v>533</v>
      </c>
    </row>
    <row r="152" spans="1:1" x14ac:dyDescent="0.15">
      <c r="A152" s="269" t="s">
        <v>534</v>
      </c>
    </row>
    <row r="153" spans="1:1" x14ac:dyDescent="0.15">
      <c r="A153" s="269" t="s">
        <v>535</v>
      </c>
    </row>
    <row r="154" spans="1:1" x14ac:dyDescent="0.15">
      <c r="A154" s="269" t="s">
        <v>536</v>
      </c>
    </row>
    <row r="155" spans="1:1" x14ac:dyDescent="0.15">
      <c r="A155" s="269" t="s">
        <v>537</v>
      </c>
    </row>
    <row r="156" spans="1:1" x14ac:dyDescent="0.15">
      <c r="A156" s="269" t="s">
        <v>538</v>
      </c>
    </row>
    <row r="157" spans="1:1" x14ac:dyDescent="0.15">
      <c r="A157" s="269" t="s">
        <v>539</v>
      </c>
    </row>
    <row r="158" spans="1:1" x14ac:dyDescent="0.15">
      <c r="A158" s="269" t="s">
        <v>540</v>
      </c>
    </row>
    <row r="159" spans="1:1" x14ac:dyDescent="0.15">
      <c r="A159" s="269" t="s">
        <v>541</v>
      </c>
    </row>
    <row r="160" spans="1:1" x14ac:dyDescent="0.15">
      <c r="A160" s="269" t="s">
        <v>542</v>
      </c>
    </row>
    <row r="161" spans="1:1" x14ac:dyDescent="0.15">
      <c r="A161" s="269" t="s">
        <v>543</v>
      </c>
    </row>
    <row r="162" spans="1:1" x14ac:dyDescent="0.15">
      <c r="A162" s="269" t="s">
        <v>544</v>
      </c>
    </row>
    <row r="163" spans="1:1" x14ac:dyDescent="0.15">
      <c r="A163" s="269" t="s">
        <v>545</v>
      </c>
    </row>
    <row r="164" spans="1:1" x14ac:dyDescent="0.15">
      <c r="A164" s="269" t="s">
        <v>546</v>
      </c>
    </row>
    <row r="165" spans="1:1" x14ac:dyDescent="0.15">
      <c r="A165" s="269" t="s">
        <v>547</v>
      </c>
    </row>
    <row r="166" spans="1:1" x14ac:dyDescent="0.15">
      <c r="A166" s="269" t="s">
        <v>548</v>
      </c>
    </row>
    <row r="167" spans="1:1" x14ac:dyDescent="0.15">
      <c r="A167" s="269" t="s">
        <v>549</v>
      </c>
    </row>
    <row r="168" spans="1:1" x14ac:dyDescent="0.15">
      <c r="A168" s="269" t="s">
        <v>550</v>
      </c>
    </row>
    <row r="169" spans="1:1" x14ac:dyDescent="0.15">
      <c r="A169" s="269" t="s">
        <v>551</v>
      </c>
    </row>
    <row r="170" spans="1:1" x14ac:dyDescent="0.15">
      <c r="A170" s="269" t="s">
        <v>552</v>
      </c>
    </row>
    <row r="171" spans="1:1" x14ac:dyDescent="0.15">
      <c r="A171" s="269" t="s">
        <v>553</v>
      </c>
    </row>
    <row r="172" spans="1:1" x14ac:dyDescent="0.15">
      <c r="A172" s="269" t="s">
        <v>554</v>
      </c>
    </row>
    <row r="173" spans="1:1" x14ac:dyDescent="0.15">
      <c r="A173" s="269" t="s">
        <v>555</v>
      </c>
    </row>
    <row r="174" spans="1:1" x14ac:dyDescent="0.15">
      <c r="A174" s="269" t="s">
        <v>556</v>
      </c>
    </row>
    <row r="175" spans="1:1" x14ac:dyDescent="0.15">
      <c r="A175" s="269" t="s">
        <v>557</v>
      </c>
    </row>
    <row r="176" spans="1:1" x14ac:dyDescent="0.15">
      <c r="A176" s="269" t="s">
        <v>558</v>
      </c>
    </row>
    <row r="177" spans="1:1" x14ac:dyDescent="0.15">
      <c r="A177" s="269" t="s">
        <v>559</v>
      </c>
    </row>
    <row r="178" spans="1:1" x14ac:dyDescent="0.15">
      <c r="A178" s="269" t="s">
        <v>560</v>
      </c>
    </row>
    <row r="179" spans="1:1" x14ac:dyDescent="0.15">
      <c r="A179" s="269" t="s">
        <v>561</v>
      </c>
    </row>
    <row r="180" spans="1:1" x14ac:dyDescent="0.15">
      <c r="A180" s="269" t="s">
        <v>562</v>
      </c>
    </row>
    <row r="181" spans="1:1" x14ac:dyDescent="0.15">
      <c r="A181" s="269" t="s">
        <v>563</v>
      </c>
    </row>
    <row r="182" spans="1:1" x14ac:dyDescent="0.15">
      <c r="A182" s="269" t="s">
        <v>564</v>
      </c>
    </row>
    <row r="183" spans="1:1" x14ac:dyDescent="0.15">
      <c r="A183" s="269" t="s">
        <v>565</v>
      </c>
    </row>
    <row r="184" spans="1:1" x14ac:dyDescent="0.15">
      <c r="A184" s="269" t="s">
        <v>566</v>
      </c>
    </row>
    <row r="185" spans="1:1" x14ac:dyDescent="0.15">
      <c r="A185" s="269" t="s">
        <v>567</v>
      </c>
    </row>
    <row r="186" spans="1:1" x14ac:dyDescent="0.15">
      <c r="A186" s="269" t="s">
        <v>568</v>
      </c>
    </row>
    <row r="187" spans="1:1" x14ac:dyDescent="0.15">
      <c r="A187" s="269" t="s">
        <v>569</v>
      </c>
    </row>
    <row r="188" spans="1:1" x14ac:dyDescent="0.15">
      <c r="A188" s="269" t="s">
        <v>570</v>
      </c>
    </row>
    <row r="189" spans="1:1" x14ac:dyDescent="0.15">
      <c r="A189" s="269" t="s">
        <v>571</v>
      </c>
    </row>
    <row r="190" spans="1:1" x14ac:dyDescent="0.15">
      <c r="A190" s="269" t="s">
        <v>572</v>
      </c>
    </row>
  </sheetData>
  <pageMargins left="0.7" right="0.7" top="0.75" bottom="0.75" header="0.3" footer="0.3"/>
  <pageSetup orientation="portrait" r:id="rId1"/>
  <headerFooter>
    <oddHeader>&amp;L&amp;"Tahoma,Regular"&amp;8&amp;K03+000Srinivasa Rao Masanam</oddHeader>
    <oddFooter>&amp;R&amp;"Tahoma,Regular"&amp;8&amp;K03+000©Elevated Terrains Consulting Engineers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60</vt:i4>
      </vt:variant>
    </vt:vector>
  </HeadingPairs>
  <TitlesOfParts>
    <vt:vector size="63" baseType="lpstr">
      <vt:lpstr>Version History</vt:lpstr>
      <vt:lpstr>Summary</vt:lpstr>
      <vt:lpstr>Calcs</vt:lpstr>
      <vt:lpstr>Ag</vt:lpstr>
      <vt:lpstr>bf</vt:lpstr>
      <vt:lpstr>BoundaryEnd</vt:lpstr>
      <vt:lpstr>BoundaryStart</vt:lpstr>
      <vt:lpstr>DesignMethod</vt:lpstr>
      <vt:lpstr>DocApprover</vt:lpstr>
      <vt:lpstr>DocChecker</vt:lpstr>
      <vt:lpstr>DocClient</vt:lpstr>
      <vt:lpstr>DocCurrentDate</vt:lpstr>
      <vt:lpstr>DocCurrentIssue</vt:lpstr>
      <vt:lpstr>DocInitialDate</vt:lpstr>
      <vt:lpstr>DocInitialIssue</vt:lpstr>
      <vt:lpstr>DocNumber</vt:lpstr>
      <vt:lpstr>DocOriginator</vt:lpstr>
      <vt:lpstr>DocProject</vt:lpstr>
      <vt:lpstr>DocTitle</vt:lpstr>
      <vt:lpstr>DocVersion</vt:lpstr>
      <vt:lpstr>E</vt:lpstr>
      <vt:lpstr>Fu</vt:lpstr>
      <vt:lpstr>Fy</vt:lpstr>
      <vt:lpstr>GeometryColumnOne</vt:lpstr>
      <vt:lpstr>GeometryColumnTwo</vt:lpstr>
      <vt:lpstr>GeoProps</vt:lpstr>
      <vt:lpstr>Grade</vt:lpstr>
      <vt:lpstr>Grades</vt:lpstr>
      <vt:lpstr>h</vt:lpstr>
      <vt:lpstr>k</vt:lpstr>
      <vt:lpstr>KFactor</vt:lpstr>
      <vt:lpstr>LimitingUR</vt:lpstr>
      <vt:lpstr>MatDatabase</vt:lpstr>
      <vt:lpstr>MatProps</vt:lpstr>
      <vt:lpstr>MaxUR</vt:lpstr>
      <vt:lpstr>MemberGeometry</vt:lpstr>
      <vt:lpstr>MemberPopulationList</vt:lpstr>
      <vt:lpstr>Precision</vt:lpstr>
      <vt:lpstr>Calcs!Print_Area</vt:lpstr>
      <vt:lpstr>Summary!Print_Area</vt:lpstr>
      <vt:lpstr>'Version History'!Print_Area</vt:lpstr>
      <vt:lpstr>Calcs!Print_Titles</vt:lpstr>
      <vt:lpstr>Qfb</vt:lpstr>
      <vt:lpstr>Qtftb</vt:lpstr>
      <vt:lpstr>SectionDatabase</vt:lpstr>
      <vt:lpstr>SectionProfile</vt:lpstr>
      <vt:lpstr>SectionType</vt:lpstr>
      <vt:lpstr>TemplateDocApprover</vt:lpstr>
      <vt:lpstr>TemplateDocChecker</vt:lpstr>
      <vt:lpstr>TemplateDocClient</vt:lpstr>
      <vt:lpstr>TemplateDocCurrentDate</vt:lpstr>
      <vt:lpstr>TemplateDocCurrentRevision</vt:lpstr>
      <vt:lpstr>TemplateDocInitialDate</vt:lpstr>
      <vt:lpstr>TemplateDocInitialRevision</vt:lpstr>
      <vt:lpstr>TemplateDocNumber</vt:lpstr>
      <vt:lpstr>TemplateDocOriginator</vt:lpstr>
      <vt:lpstr>TemplateDocProject</vt:lpstr>
      <vt:lpstr>TemplateDocTitle</vt:lpstr>
      <vt:lpstr>'Version History'!TemplateDocVersion</vt:lpstr>
      <vt:lpstr>tf</vt:lpstr>
      <vt:lpstr>tw</vt:lpstr>
      <vt:lpstr>UtilizationRatios</vt:lpstr>
      <vt:lpstr>Weights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Masanam Srinivasarao</dc:creator>
  <cp:lastModifiedBy>MASANAM Srinivasarao</cp:lastModifiedBy>
  <cp:lastPrinted>2018-03-12T07:20:45Z</cp:lastPrinted>
  <dcterms:created xsi:type="dcterms:W3CDTF">2015-10-09T06:49:13Z</dcterms:created>
  <dcterms:modified xsi:type="dcterms:W3CDTF">2025-03-04T09:16:35Z</dcterms:modified>
</cp:coreProperties>
</file>